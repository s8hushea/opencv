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h.sheaib\PycharmProjects\openCV\"/>
    </mc:Choice>
  </mc:AlternateContent>
  <bookViews>
    <workbookView xWindow="0" yWindow="0" windowWidth="17256" windowHeight="5928" activeTab="1"/>
  </bookViews>
  <sheets>
    <sheet name="Blue" sheetId="1" r:id="rId1"/>
    <sheet name="Tabelle1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37" i="2" l="1"/>
  <c r="U41" i="2"/>
  <c r="U40" i="2"/>
  <c r="U39" i="2"/>
  <c r="U44" i="2"/>
  <c r="U43" i="2"/>
  <c r="U42" i="2"/>
  <c r="U45" i="2"/>
  <c r="U46" i="2"/>
  <c r="U47" i="2"/>
  <c r="U48" i="2"/>
  <c r="U50" i="2"/>
  <c r="U49" i="2"/>
  <c r="U51" i="2"/>
  <c r="U38" i="2"/>
  <c r="R38" i="2"/>
  <c r="T37" i="2"/>
  <c r="T41" i="2"/>
  <c r="T40" i="2"/>
  <c r="T39" i="2"/>
  <c r="T44" i="2"/>
  <c r="T43" i="2"/>
  <c r="T42" i="2"/>
  <c r="T45" i="2"/>
  <c r="T46" i="2"/>
  <c r="T47" i="2"/>
  <c r="T48" i="2"/>
  <c r="T50" i="2"/>
  <c r="T49" i="2"/>
  <c r="T51" i="2"/>
  <c r="T38" i="2"/>
  <c r="P40" i="2"/>
  <c r="P37" i="2"/>
  <c r="P43" i="2"/>
  <c r="P48" i="2"/>
  <c r="P47" i="2"/>
  <c r="P41" i="2"/>
  <c r="P38" i="2"/>
  <c r="P44" i="2"/>
  <c r="P50" i="2"/>
  <c r="P49" i="2"/>
  <c r="P42" i="2"/>
  <c r="P39" i="2"/>
  <c r="P45" i="2"/>
  <c r="P51" i="2"/>
  <c r="P46" i="2"/>
  <c r="O40" i="2"/>
  <c r="O37" i="2"/>
  <c r="O43" i="2"/>
  <c r="O48" i="2"/>
  <c r="O47" i="2"/>
  <c r="O41" i="2"/>
  <c r="O38" i="2"/>
  <c r="O44" i="2"/>
  <c r="O50" i="2"/>
  <c r="O49" i="2"/>
  <c r="O42" i="2"/>
  <c r="O39" i="2"/>
  <c r="O45" i="2"/>
  <c r="O51" i="2"/>
  <c r="O46" i="2"/>
  <c r="N40" i="2"/>
  <c r="N37" i="2"/>
  <c r="N43" i="2"/>
  <c r="N48" i="2"/>
  <c r="N47" i="2"/>
  <c r="N41" i="2"/>
  <c r="N38" i="2"/>
  <c r="N44" i="2"/>
  <c r="N50" i="2"/>
  <c r="N49" i="2"/>
  <c r="N42" i="2"/>
  <c r="N39" i="2"/>
  <c r="N45" i="2"/>
  <c r="N51" i="2"/>
  <c r="N46" i="2"/>
  <c r="R40" i="2"/>
  <c r="R37" i="2"/>
  <c r="R43" i="2"/>
  <c r="R48" i="2"/>
  <c r="R47" i="2"/>
  <c r="R41" i="2"/>
  <c r="R44" i="2"/>
  <c r="R50" i="2"/>
  <c r="R49" i="2"/>
  <c r="R42" i="2"/>
  <c r="R39" i="2"/>
  <c r="R45" i="2"/>
  <c r="R51" i="2"/>
  <c r="R46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2" i="2"/>
  <c r="X11" i="2"/>
  <c r="V3" i="2"/>
  <c r="X3" i="2" s="1"/>
  <c r="V11" i="2"/>
  <c r="Q34" i="2"/>
  <c r="Q28" i="2"/>
  <c r="Q23" i="2"/>
  <c r="Q26" i="2"/>
  <c r="Q31" i="2"/>
  <c r="Q32" i="2"/>
  <c r="Q25" i="2"/>
  <c r="Q20" i="2"/>
  <c r="Q22" i="2"/>
  <c r="Q29" i="2"/>
  <c r="Q33" i="2"/>
  <c r="Q27" i="2"/>
  <c r="Q21" i="2"/>
  <c r="Q24" i="2"/>
  <c r="Q30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2" i="2"/>
  <c r="O34" i="2"/>
  <c r="N34" i="2"/>
  <c r="M34" i="2"/>
  <c r="K34" i="2"/>
  <c r="O28" i="2"/>
  <c r="N28" i="2"/>
  <c r="M28" i="2"/>
  <c r="K28" i="2"/>
  <c r="O23" i="2"/>
  <c r="N23" i="2"/>
  <c r="M23" i="2"/>
  <c r="K23" i="2"/>
  <c r="O26" i="2"/>
  <c r="N26" i="2"/>
  <c r="M26" i="2"/>
  <c r="K26" i="2"/>
  <c r="O31" i="2"/>
  <c r="N31" i="2"/>
  <c r="M31" i="2"/>
  <c r="K31" i="2"/>
  <c r="O32" i="2"/>
  <c r="N32" i="2"/>
  <c r="M32" i="2"/>
  <c r="K32" i="2"/>
  <c r="O25" i="2"/>
  <c r="N25" i="2"/>
  <c r="M25" i="2"/>
  <c r="K25" i="2"/>
  <c r="O20" i="2"/>
  <c r="N20" i="2"/>
  <c r="M20" i="2"/>
  <c r="K20" i="2"/>
  <c r="O22" i="2"/>
  <c r="N22" i="2"/>
  <c r="M22" i="2"/>
  <c r="K22" i="2"/>
  <c r="O29" i="2"/>
  <c r="N29" i="2"/>
  <c r="M29" i="2"/>
  <c r="K29" i="2"/>
  <c r="O33" i="2"/>
  <c r="N33" i="2"/>
  <c r="M33" i="2"/>
  <c r="K33" i="2"/>
  <c r="O27" i="2"/>
  <c r="N27" i="2"/>
  <c r="M27" i="2"/>
  <c r="K27" i="2"/>
  <c r="O21" i="2"/>
  <c r="N21" i="2"/>
  <c r="M21" i="2"/>
  <c r="K21" i="2"/>
  <c r="O24" i="2"/>
  <c r="N24" i="2"/>
  <c r="M24" i="2"/>
  <c r="K24" i="2"/>
  <c r="O30" i="2"/>
  <c r="N30" i="2"/>
  <c r="M30" i="2"/>
  <c r="K30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2" i="2"/>
  <c r="R3" i="2"/>
  <c r="R4" i="2"/>
  <c r="V4" i="2" s="1"/>
  <c r="X4" i="2" s="1"/>
  <c r="R5" i="2"/>
  <c r="V5" i="2" s="1"/>
  <c r="X5" i="2" s="1"/>
  <c r="R6" i="2"/>
  <c r="V6" i="2" s="1"/>
  <c r="X6" i="2" s="1"/>
  <c r="R7" i="2"/>
  <c r="V7" i="2" s="1"/>
  <c r="X7" i="2" s="1"/>
  <c r="R8" i="2"/>
  <c r="V8" i="2" s="1"/>
  <c r="X8" i="2" s="1"/>
  <c r="R9" i="2"/>
  <c r="V9" i="2" s="1"/>
  <c r="X9" i="2" s="1"/>
  <c r="R10" i="2"/>
  <c r="V10" i="2" s="1"/>
  <c r="X10" i="2" s="1"/>
  <c r="R11" i="2"/>
  <c r="R12" i="2"/>
  <c r="V12" i="2" s="1"/>
  <c r="X12" i="2" s="1"/>
  <c r="R13" i="2"/>
  <c r="V13" i="2" s="1"/>
  <c r="X13" i="2" s="1"/>
  <c r="R14" i="2"/>
  <c r="V14" i="2" s="1"/>
  <c r="X14" i="2" s="1"/>
  <c r="R15" i="2"/>
  <c r="V15" i="2" s="1"/>
  <c r="X15" i="2" s="1"/>
  <c r="R16" i="2"/>
  <c r="V16" i="2" s="1"/>
  <c r="X16" i="2" s="1"/>
  <c r="R2" i="2"/>
  <c r="V2" i="2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2" i="2"/>
  <c r="W27" i="1"/>
  <c r="U27" i="1"/>
  <c r="T27" i="1"/>
  <c r="S27" i="1"/>
  <c r="Q27" i="1"/>
  <c r="P27" i="1"/>
  <c r="O27" i="1"/>
  <c r="W25" i="1"/>
  <c r="U25" i="1"/>
  <c r="T25" i="1"/>
  <c r="S25" i="1"/>
  <c r="Q25" i="1"/>
  <c r="P25" i="1"/>
  <c r="O25" i="1"/>
  <c r="W23" i="1"/>
  <c r="U23" i="1"/>
  <c r="T23" i="1"/>
  <c r="S23" i="1"/>
  <c r="Q23" i="1"/>
  <c r="P23" i="1"/>
  <c r="O23" i="1"/>
  <c r="W24" i="1"/>
  <c r="U24" i="1"/>
  <c r="T24" i="1"/>
  <c r="S24" i="1"/>
  <c r="Q24" i="1"/>
  <c r="P24" i="1"/>
  <c r="O24" i="1"/>
  <c r="W26" i="1"/>
  <c r="U26" i="1"/>
  <c r="T26" i="1"/>
  <c r="S26" i="1"/>
  <c r="Q26" i="1"/>
  <c r="P26" i="1"/>
  <c r="O26" i="1"/>
  <c r="W32" i="1"/>
  <c r="U32" i="1"/>
  <c r="T32" i="1"/>
  <c r="S32" i="1"/>
  <c r="Q32" i="1"/>
  <c r="P32" i="1"/>
  <c r="O32" i="1"/>
  <c r="W30" i="1"/>
  <c r="U30" i="1"/>
  <c r="T30" i="1"/>
  <c r="S30" i="1"/>
  <c r="Q30" i="1"/>
  <c r="P30" i="1"/>
  <c r="O30" i="1"/>
  <c r="W28" i="1"/>
  <c r="U28" i="1"/>
  <c r="T28" i="1"/>
  <c r="S28" i="1"/>
  <c r="Q28" i="1"/>
  <c r="P28" i="1"/>
  <c r="O28" i="1"/>
  <c r="W29" i="1"/>
  <c r="U29" i="1"/>
  <c r="T29" i="1"/>
  <c r="S29" i="1"/>
  <c r="Q29" i="1"/>
  <c r="P29" i="1"/>
  <c r="O29" i="1"/>
  <c r="W31" i="1"/>
  <c r="U31" i="1"/>
  <c r="T31" i="1"/>
  <c r="S31" i="1"/>
  <c r="Q31" i="1"/>
  <c r="P31" i="1"/>
  <c r="O31" i="1"/>
  <c r="W37" i="1"/>
  <c r="U37" i="1"/>
  <c r="T37" i="1"/>
  <c r="S37" i="1"/>
  <c r="Q37" i="1"/>
  <c r="P37" i="1"/>
  <c r="O37" i="1"/>
  <c r="W35" i="1"/>
  <c r="U35" i="1"/>
  <c r="T35" i="1"/>
  <c r="S35" i="1"/>
  <c r="Q35" i="1"/>
  <c r="P35" i="1"/>
  <c r="O35" i="1"/>
  <c r="W33" i="1"/>
  <c r="U33" i="1"/>
  <c r="T33" i="1"/>
  <c r="S33" i="1"/>
  <c r="Q33" i="1"/>
  <c r="P33" i="1"/>
  <c r="O33" i="1"/>
  <c r="W34" i="1"/>
  <c r="U34" i="1"/>
  <c r="T34" i="1"/>
  <c r="S34" i="1"/>
  <c r="Q34" i="1"/>
  <c r="P34" i="1"/>
  <c r="O34" i="1"/>
  <c r="W36" i="1"/>
  <c r="U36" i="1"/>
  <c r="T36" i="1"/>
  <c r="S36" i="1"/>
  <c r="Q36" i="1"/>
  <c r="P36" i="1"/>
  <c r="O36" i="1"/>
  <c r="X16" i="1"/>
  <c r="Z16" i="1"/>
  <c r="W16" i="1"/>
  <c r="V16" i="1"/>
  <c r="X15" i="1"/>
  <c r="Z15" i="1"/>
  <c r="W15" i="1"/>
  <c r="V15" i="1"/>
  <c r="X14" i="1"/>
  <c r="Z14" i="1"/>
  <c r="W14" i="1"/>
  <c r="V14" i="1"/>
  <c r="X13" i="1"/>
  <c r="Z13" i="1"/>
  <c r="W13" i="1"/>
  <c r="V13" i="1"/>
  <c r="X12" i="1"/>
  <c r="Z12" i="1"/>
  <c r="W12" i="1"/>
  <c r="V12" i="1"/>
  <c r="V7" i="1"/>
  <c r="V8" i="1"/>
  <c r="V9" i="1"/>
  <c r="V10" i="1"/>
  <c r="V11" i="1"/>
  <c r="X11" i="1"/>
  <c r="Z11" i="1"/>
  <c r="W11" i="1"/>
  <c r="X10" i="1"/>
  <c r="Z10" i="1"/>
  <c r="W10" i="1"/>
  <c r="X9" i="1"/>
  <c r="Z9" i="1"/>
  <c r="W9" i="1"/>
  <c r="X8" i="1"/>
  <c r="Z8" i="1"/>
  <c r="W8" i="1"/>
  <c r="X7" i="1"/>
  <c r="Z7" i="1"/>
  <c r="T7" i="1"/>
  <c r="T8" i="1"/>
  <c r="T9" i="1"/>
  <c r="T10" i="1"/>
  <c r="T11" i="1"/>
  <c r="T12" i="1"/>
  <c r="T13" i="1"/>
  <c r="T14" i="1"/>
  <c r="T15" i="1"/>
  <c r="T16" i="1"/>
  <c r="S8" i="1"/>
  <c r="S9" i="1"/>
  <c r="S10" i="1"/>
  <c r="S11" i="1"/>
  <c r="S12" i="1"/>
  <c r="S13" i="1"/>
  <c r="S14" i="1"/>
  <c r="S15" i="1"/>
  <c r="S16" i="1"/>
  <c r="R7" i="1"/>
  <c r="R8" i="1"/>
  <c r="R9" i="1"/>
  <c r="R10" i="1"/>
  <c r="R11" i="1"/>
  <c r="R12" i="1"/>
  <c r="R13" i="1"/>
  <c r="R14" i="1"/>
  <c r="R15" i="1"/>
  <c r="R16" i="1"/>
  <c r="S7" i="1"/>
  <c r="W7" i="1"/>
  <c r="Z3" i="1"/>
  <c r="Z4" i="1"/>
  <c r="Z5" i="1"/>
  <c r="Z6" i="1"/>
  <c r="Z2" i="1"/>
  <c r="X3" i="1"/>
  <c r="X4" i="1"/>
  <c r="X5" i="1"/>
  <c r="X6" i="1"/>
  <c r="W3" i="1"/>
  <c r="W4" i="1"/>
  <c r="W5" i="1"/>
  <c r="W6" i="1"/>
  <c r="V3" i="1"/>
  <c r="V4" i="1"/>
  <c r="V5" i="1"/>
  <c r="V6" i="1"/>
  <c r="X2" i="1"/>
  <c r="W2" i="1"/>
  <c r="V2" i="1"/>
  <c r="T3" i="1"/>
  <c r="T4" i="1"/>
  <c r="T5" i="1"/>
  <c r="T6" i="1"/>
  <c r="T2" i="1"/>
  <c r="S3" i="1"/>
  <c r="S4" i="1"/>
  <c r="S5" i="1"/>
  <c r="S6" i="1"/>
  <c r="S2" i="1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2" i="1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2" i="1"/>
  <c r="R3" i="1"/>
  <c r="R4" i="1"/>
  <c r="R5" i="1"/>
  <c r="R6" i="1"/>
  <c r="R2" i="1"/>
  <c r="X2" i="2" l="1"/>
</calcChain>
</file>

<file path=xl/sharedStrings.xml><?xml version="1.0" encoding="utf-8"?>
<sst xmlns="http://schemas.openxmlformats.org/spreadsheetml/2006/main" count="117" uniqueCount="22">
  <si>
    <t>Pixel:</t>
  </si>
  <si>
    <t>x</t>
  </si>
  <si>
    <t>y</t>
  </si>
  <si>
    <t>Depth_cam:</t>
  </si>
  <si>
    <t>z</t>
  </si>
  <si>
    <t>PC_cam:</t>
  </si>
  <si>
    <t>Depth_rcs:</t>
  </si>
  <si>
    <t>PC_rcs:</t>
  </si>
  <si>
    <t>Robot_rcs:</t>
  </si>
  <si>
    <t>DeltaDepth:</t>
  </si>
  <si>
    <t>DeltaPC:</t>
  </si>
  <si>
    <t>Robotic_ccs:</t>
  </si>
  <si>
    <t>DeltaDepthcs</t>
  </si>
  <si>
    <t>DeltaPCccs:</t>
  </si>
  <si>
    <t>RobotCCSAbs</t>
  </si>
  <si>
    <t>Depth_Cam:</t>
  </si>
  <si>
    <t>RobotCCSAbsOhneZ</t>
  </si>
  <si>
    <t>Corrected Depth</t>
  </si>
  <si>
    <t>DeltaZCorrected:</t>
  </si>
  <si>
    <t>PixelAbstand:</t>
  </si>
  <si>
    <t>AbstandX:</t>
  </si>
  <si>
    <t>AbstandY: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</si>
</sst>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68088363954505"/>
          <c:y val="2.5428331875182269E-2"/>
          <c:w val="0.87731977252843396"/>
          <c:h val="0.77736111111111106"/>
        </c:manualLayout>
      </c:layout>
      <c:lineChart>
        <c:grouping val="standard"/>
        <c:varyColors val="0"/>
        <c:ser>
          <c:idx val="0"/>
          <c:order val="0"/>
          <c:tx>
            <c:v>Delta Z to Abstand CCS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Blue!$W$23:$W$37</c:f>
              <c:numCache>
                <c:formatCode>General</c:formatCode>
                <c:ptCount val="15"/>
                <c:pt idx="0">
                  <c:v>710.11999626823626</c:v>
                </c:pt>
                <c:pt idx="1">
                  <c:v>715.29839549659278</c:v>
                </c:pt>
                <c:pt idx="2">
                  <c:v>717.78664171534979</c:v>
                </c:pt>
                <c:pt idx="3">
                  <c:v>734.35917955725176</c:v>
                </c:pt>
                <c:pt idx="4">
                  <c:v>739.10913911613898</c:v>
                </c:pt>
                <c:pt idx="5">
                  <c:v>761.59581813452724</c:v>
                </c:pt>
                <c:pt idx="6">
                  <c:v>767.27510698575384</c:v>
                </c:pt>
                <c:pt idx="7">
                  <c:v>769.2672011239008</c:v>
                </c:pt>
                <c:pt idx="8">
                  <c:v>785.5644641911955</c:v>
                </c:pt>
                <c:pt idx="9">
                  <c:v>789.39696699442663</c:v>
                </c:pt>
                <c:pt idx="10">
                  <c:v>822.13331777759743</c:v>
                </c:pt>
                <c:pt idx="11">
                  <c:v>826.7381714303508</c:v>
                </c:pt>
                <c:pt idx="12">
                  <c:v>828.89751483521775</c:v>
                </c:pt>
                <c:pt idx="13">
                  <c:v>844.41385126015075</c:v>
                </c:pt>
                <c:pt idx="14">
                  <c:v>847.41435018531524</c:v>
                </c:pt>
              </c:numCache>
            </c:numRef>
          </c:cat>
          <c:val>
            <c:numRef>
              <c:f>Blue!$Q$23:$Q$37</c:f>
              <c:numCache>
                <c:formatCode>General</c:formatCode>
                <c:ptCount val="15"/>
                <c:pt idx="0">
                  <c:v>-17.710000000000036</c:v>
                </c:pt>
                <c:pt idx="1">
                  <c:v>-17.769999999999982</c:v>
                </c:pt>
                <c:pt idx="2">
                  <c:v>-15.590000000000032</c:v>
                </c:pt>
                <c:pt idx="3">
                  <c:v>-17.220000000000027</c:v>
                </c:pt>
                <c:pt idx="4">
                  <c:v>-13.894999999999982</c:v>
                </c:pt>
                <c:pt idx="5">
                  <c:v>-17.659999999999968</c:v>
                </c:pt>
                <c:pt idx="6">
                  <c:v>-15.970000000000027</c:v>
                </c:pt>
                <c:pt idx="7">
                  <c:v>-14.975000000000023</c:v>
                </c:pt>
                <c:pt idx="8">
                  <c:v>-14.080000000000041</c:v>
                </c:pt>
                <c:pt idx="9">
                  <c:v>-18.25</c:v>
                </c:pt>
                <c:pt idx="10">
                  <c:v>-16.399999999999977</c:v>
                </c:pt>
                <c:pt idx="11">
                  <c:v>-15.539999999999964</c:v>
                </c:pt>
                <c:pt idx="12">
                  <c:v>-21.029999999999973</c:v>
                </c:pt>
                <c:pt idx="13">
                  <c:v>-16.870000000000005</c:v>
                </c:pt>
                <c:pt idx="14">
                  <c:v>-14.639999999999986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0266952"/>
        <c:axId val="49267952"/>
      </c:lineChart>
      <c:catAx>
        <c:axId val="360266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267952"/>
        <c:crosses val="autoZero"/>
        <c:auto val="1"/>
        <c:lblAlgn val="ctr"/>
        <c:lblOffset val="100"/>
        <c:noMultiLvlLbl val="0"/>
      </c:catAx>
      <c:valAx>
        <c:axId val="4926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60266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Column 1 Delta Z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(Blue!$W$36,Blue!$W$31,Blue!$W$26)</c:f>
              <c:numCache>
                <c:formatCode>General</c:formatCode>
                <c:ptCount val="3"/>
                <c:pt idx="0">
                  <c:v>844.41385126015075</c:v>
                </c:pt>
                <c:pt idx="1">
                  <c:v>785.5644641911955</c:v>
                </c:pt>
                <c:pt idx="2">
                  <c:v>734.35917955725176</c:v>
                </c:pt>
              </c:numCache>
            </c:numRef>
          </c:xVal>
          <c:yVal>
            <c:numRef>
              <c:f>(Blue!$Q$36,Blue!$Q$31,Blue!$Q$26)</c:f>
              <c:numCache>
                <c:formatCode>General</c:formatCode>
                <c:ptCount val="3"/>
                <c:pt idx="0">
                  <c:v>-16.870000000000005</c:v>
                </c:pt>
                <c:pt idx="1">
                  <c:v>-14.080000000000041</c:v>
                </c:pt>
                <c:pt idx="2">
                  <c:v>-17.220000000000027</c:v>
                </c:pt>
              </c:numCache>
            </c:numRef>
          </c:yVal>
          <c:smooth val="1"/>
        </c:ser>
        <c:ser>
          <c:idx val="1"/>
          <c:order val="1"/>
          <c:tx>
            <c:v>Column 2 Delta Z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(Blue!$W$34,Blue!$W$29,Blue!$W$24)</c:f>
              <c:numCache>
                <c:formatCode>General</c:formatCode>
                <c:ptCount val="3"/>
                <c:pt idx="0">
                  <c:v>826.7381714303508</c:v>
                </c:pt>
                <c:pt idx="1">
                  <c:v>767.27510698575384</c:v>
                </c:pt>
                <c:pt idx="2">
                  <c:v>715.29839549659278</c:v>
                </c:pt>
              </c:numCache>
            </c:numRef>
          </c:xVal>
          <c:yVal>
            <c:numRef>
              <c:f>(Blue!$Q$34,Blue!$Q$29,Blue!$Q$24)</c:f>
              <c:numCache>
                <c:formatCode>General</c:formatCode>
                <c:ptCount val="3"/>
                <c:pt idx="0">
                  <c:v>-15.539999999999964</c:v>
                </c:pt>
                <c:pt idx="1">
                  <c:v>-15.970000000000027</c:v>
                </c:pt>
                <c:pt idx="2">
                  <c:v>-17.769999999999982</c:v>
                </c:pt>
              </c:numCache>
            </c:numRef>
          </c:yVal>
          <c:smooth val="1"/>
        </c:ser>
        <c:ser>
          <c:idx val="2"/>
          <c:order val="2"/>
          <c:tx>
            <c:v>Column 3 Delta Z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(Blue!$W$33,Blue!$W$28,Blue!$W$23)</c:f>
              <c:numCache>
                <c:formatCode>General</c:formatCode>
                <c:ptCount val="3"/>
                <c:pt idx="0">
                  <c:v>822.13331777759743</c:v>
                </c:pt>
                <c:pt idx="1">
                  <c:v>761.59581813452724</c:v>
                </c:pt>
                <c:pt idx="2">
                  <c:v>710.11999626823626</c:v>
                </c:pt>
              </c:numCache>
            </c:numRef>
          </c:xVal>
          <c:yVal>
            <c:numRef>
              <c:f>(Blue!$Q$33,Blue!$Q$28,Blue!$Q$23)</c:f>
              <c:numCache>
                <c:formatCode>General</c:formatCode>
                <c:ptCount val="3"/>
                <c:pt idx="0">
                  <c:v>-16.399999999999977</c:v>
                </c:pt>
                <c:pt idx="1">
                  <c:v>-17.659999999999968</c:v>
                </c:pt>
                <c:pt idx="2">
                  <c:v>-17.710000000000036</c:v>
                </c:pt>
              </c:numCache>
            </c:numRef>
          </c:yVal>
          <c:smooth val="1"/>
        </c:ser>
        <c:ser>
          <c:idx val="3"/>
          <c:order val="3"/>
          <c:tx>
            <c:v>Column 4 Delta Z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(Blue!$W$35,Blue!$W$30,Blue!$W$25)</c:f>
              <c:numCache>
                <c:formatCode>General</c:formatCode>
                <c:ptCount val="3"/>
                <c:pt idx="0">
                  <c:v>828.89751483521775</c:v>
                </c:pt>
                <c:pt idx="1">
                  <c:v>769.2672011239008</c:v>
                </c:pt>
                <c:pt idx="2">
                  <c:v>717.78664171534979</c:v>
                </c:pt>
              </c:numCache>
            </c:numRef>
          </c:xVal>
          <c:yVal>
            <c:numRef>
              <c:f>(Blue!$Q$35,Blue!$Q$30,Blue!$Q$25)</c:f>
              <c:numCache>
                <c:formatCode>General</c:formatCode>
                <c:ptCount val="3"/>
                <c:pt idx="0">
                  <c:v>-21.029999999999973</c:v>
                </c:pt>
                <c:pt idx="1">
                  <c:v>-14.975000000000023</c:v>
                </c:pt>
                <c:pt idx="2">
                  <c:v>-15.590000000000032</c:v>
                </c:pt>
              </c:numCache>
            </c:numRef>
          </c:yVal>
          <c:smooth val="1"/>
        </c:ser>
        <c:ser>
          <c:idx val="4"/>
          <c:order val="4"/>
          <c:tx>
            <c:v>Column 5 Delta Z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(Blue!$W$37,Blue!$W$32,Blue!$W$27)</c:f>
              <c:numCache>
                <c:formatCode>General</c:formatCode>
                <c:ptCount val="3"/>
                <c:pt idx="0">
                  <c:v>847.41435018531524</c:v>
                </c:pt>
                <c:pt idx="1">
                  <c:v>789.39696699442663</c:v>
                </c:pt>
                <c:pt idx="2">
                  <c:v>739.10913911613898</c:v>
                </c:pt>
              </c:numCache>
            </c:numRef>
          </c:xVal>
          <c:yVal>
            <c:numRef>
              <c:f>(Blue!$Q$37,Blue!$Q$32,Blue!$Q$27)</c:f>
              <c:numCache>
                <c:formatCode>General</c:formatCode>
                <c:ptCount val="3"/>
                <c:pt idx="0">
                  <c:v>-14.639999999999986</c:v>
                </c:pt>
                <c:pt idx="1">
                  <c:v>-18.25</c:v>
                </c:pt>
                <c:pt idx="2">
                  <c:v>-13.894999999999982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0567872"/>
        <c:axId val="360572360"/>
      </c:scatterChart>
      <c:valAx>
        <c:axId val="360567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60572360"/>
        <c:crosses val="autoZero"/>
        <c:crossBetween val="midCat"/>
      </c:valAx>
      <c:valAx>
        <c:axId val="360572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605678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Column 1 Delta X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(Blue!$W$36,Blue!$W$31,Blue!$W$26)</c:f>
              <c:numCache>
                <c:formatCode>General</c:formatCode>
                <c:ptCount val="3"/>
                <c:pt idx="0">
                  <c:v>844.41385126015075</c:v>
                </c:pt>
                <c:pt idx="1">
                  <c:v>785.5644641911955</c:v>
                </c:pt>
                <c:pt idx="2">
                  <c:v>734.35917955725176</c:v>
                </c:pt>
              </c:numCache>
            </c:numRef>
          </c:xVal>
          <c:yVal>
            <c:numRef>
              <c:f>(Blue!$O$36,Blue!$O$31,Blue!$O$26)</c:f>
              <c:numCache>
                <c:formatCode>General</c:formatCode>
                <c:ptCount val="3"/>
                <c:pt idx="0">
                  <c:v>3.7800000000000011</c:v>
                </c:pt>
                <c:pt idx="1">
                  <c:v>2.4699999999999989</c:v>
                </c:pt>
                <c:pt idx="2">
                  <c:v>3.7399999999999807</c:v>
                </c:pt>
              </c:numCache>
            </c:numRef>
          </c:yVal>
          <c:smooth val="1"/>
        </c:ser>
        <c:ser>
          <c:idx val="1"/>
          <c:order val="1"/>
          <c:tx>
            <c:v>Column 2 Delta X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(Blue!$W$34,Blue!$W$29,Blue!$W$24)</c:f>
              <c:numCache>
                <c:formatCode>General</c:formatCode>
                <c:ptCount val="3"/>
                <c:pt idx="0">
                  <c:v>826.7381714303508</c:v>
                </c:pt>
                <c:pt idx="1">
                  <c:v>767.27510698575384</c:v>
                </c:pt>
                <c:pt idx="2">
                  <c:v>715.29839549659278</c:v>
                </c:pt>
              </c:numCache>
            </c:numRef>
          </c:xVal>
          <c:yVal>
            <c:numRef>
              <c:f>(Blue!$O$34,Blue!$O$29,Blue!$O$24)</c:f>
              <c:numCache>
                <c:formatCode>General</c:formatCode>
                <c:ptCount val="3"/>
                <c:pt idx="0">
                  <c:v>0.39999999999999147</c:v>
                </c:pt>
                <c:pt idx="1">
                  <c:v>-0.65000000000000568</c:v>
                </c:pt>
                <c:pt idx="2">
                  <c:v>0.23999999999999488</c:v>
                </c:pt>
              </c:numCache>
            </c:numRef>
          </c:yVal>
          <c:smooth val="1"/>
        </c:ser>
        <c:ser>
          <c:idx val="2"/>
          <c:order val="2"/>
          <c:tx>
            <c:v>Column 3 Delta X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(Blue!$W$33,Blue!$W$28,Blue!$W$23)</c:f>
              <c:numCache>
                <c:formatCode>General</c:formatCode>
                <c:ptCount val="3"/>
                <c:pt idx="0">
                  <c:v>822.13331777759743</c:v>
                </c:pt>
                <c:pt idx="1">
                  <c:v>761.59581813452724</c:v>
                </c:pt>
                <c:pt idx="2">
                  <c:v>710.11999626823626</c:v>
                </c:pt>
              </c:numCache>
            </c:numRef>
          </c:xVal>
          <c:yVal>
            <c:numRef>
              <c:f>(Blue!$O$33,Blue!$O$28,Blue!$O$23)</c:f>
              <c:numCache>
                <c:formatCode>General</c:formatCode>
                <c:ptCount val="3"/>
                <c:pt idx="0">
                  <c:v>-1.3399999999999999</c:v>
                </c:pt>
                <c:pt idx="1">
                  <c:v>-1.8399999999999999</c:v>
                </c:pt>
                <c:pt idx="2">
                  <c:v>-2.6199999999999992</c:v>
                </c:pt>
              </c:numCache>
            </c:numRef>
          </c:yVal>
          <c:smooth val="1"/>
        </c:ser>
        <c:ser>
          <c:idx val="3"/>
          <c:order val="3"/>
          <c:tx>
            <c:v>Column 4 Delta X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(Blue!$W$35,Blue!$W$30,Blue!$W$25)</c:f>
              <c:numCache>
                <c:formatCode>General</c:formatCode>
                <c:ptCount val="3"/>
                <c:pt idx="0">
                  <c:v>828.89751483521775</c:v>
                </c:pt>
                <c:pt idx="1">
                  <c:v>769.2672011239008</c:v>
                </c:pt>
                <c:pt idx="2">
                  <c:v>717.78664171534979</c:v>
                </c:pt>
              </c:numCache>
            </c:numRef>
          </c:xVal>
          <c:yVal>
            <c:numRef>
              <c:f>(Blue!$O$35,Blue!$O$30,Blue!$O$25)</c:f>
              <c:numCache>
                <c:formatCode>General</c:formatCode>
                <c:ptCount val="3"/>
                <c:pt idx="0">
                  <c:v>-4.6099999999999994</c:v>
                </c:pt>
                <c:pt idx="1">
                  <c:v>-3.1000000000000085</c:v>
                </c:pt>
                <c:pt idx="2">
                  <c:v>-4.3299999999999983</c:v>
                </c:pt>
              </c:numCache>
            </c:numRef>
          </c:yVal>
          <c:smooth val="1"/>
        </c:ser>
        <c:ser>
          <c:idx val="4"/>
          <c:order val="4"/>
          <c:tx>
            <c:v>Column 5 Delta X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(Blue!$W$37,Blue!$W$32,Blue!$W$27)</c:f>
              <c:numCache>
                <c:formatCode>General</c:formatCode>
                <c:ptCount val="3"/>
                <c:pt idx="0">
                  <c:v>847.41435018531524</c:v>
                </c:pt>
                <c:pt idx="1">
                  <c:v>789.39696699442663</c:v>
                </c:pt>
                <c:pt idx="2">
                  <c:v>739.10913911613898</c:v>
                </c:pt>
              </c:numCache>
            </c:numRef>
          </c:xVal>
          <c:yVal>
            <c:numRef>
              <c:f>(Blue!$O$37,Blue!$O$32,Blue!$O$27)</c:f>
              <c:numCache>
                <c:formatCode>General</c:formatCode>
                <c:ptCount val="3"/>
                <c:pt idx="0">
                  <c:v>-7.1299999999999955</c:v>
                </c:pt>
                <c:pt idx="1">
                  <c:v>-7.5099999999999909</c:v>
                </c:pt>
                <c:pt idx="2">
                  <c:v>-8.5300000000000011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1256008"/>
        <c:axId val="361260496"/>
      </c:scatterChart>
      <c:valAx>
        <c:axId val="361256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61260496"/>
        <c:crosses val="autoZero"/>
        <c:crossBetween val="midCat"/>
      </c:valAx>
      <c:valAx>
        <c:axId val="36126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61256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368088363954505"/>
          <c:y val="2.5428331875182269E-2"/>
          <c:w val="0.87731977252843396"/>
          <c:h val="0.77736111111111106"/>
        </c:manualLayout>
      </c:layout>
      <c:scatterChart>
        <c:scatterStyle val="smoothMarker"/>
        <c:varyColors val="0"/>
        <c:ser>
          <c:idx val="0"/>
          <c:order val="0"/>
          <c:tx>
            <c:v>Row 1 Delta Y to Abstand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(Blue!$X$36,Blue!$X$34,Blue!$X$33,Blue!$X$35,Blue!$X$37)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(Blue!$P$36,Blue!$P$34,Blue!$P$33,Blue!$P$35,Blue!$P$37)</c:f>
              <c:numCache>
                <c:formatCode>General</c:formatCode>
                <c:ptCount val="5"/>
                <c:pt idx="0">
                  <c:v>0.60999999999999943</c:v>
                </c:pt>
                <c:pt idx="1">
                  <c:v>1.1899999999999977</c:v>
                </c:pt>
                <c:pt idx="2">
                  <c:v>2.4399999999999977</c:v>
                </c:pt>
                <c:pt idx="3">
                  <c:v>4.269999999999996</c:v>
                </c:pt>
                <c:pt idx="4">
                  <c:v>5.0799999999999983</c:v>
                </c:pt>
              </c:numCache>
            </c:numRef>
          </c:yVal>
          <c:smooth val="1"/>
        </c:ser>
        <c:ser>
          <c:idx val="1"/>
          <c:order val="1"/>
          <c:tx>
            <c:v>Row 2 Delta Y to Abstand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(Blue!$W$31,Blue!$W$29,Blue!$W$28,Blue!$W$30,Blue!$W$32)</c:f>
              <c:numCache>
                <c:formatCode>General</c:formatCode>
                <c:ptCount val="5"/>
                <c:pt idx="0">
                  <c:v>785.5644641911955</c:v>
                </c:pt>
                <c:pt idx="1">
                  <c:v>767.27510698575384</c:v>
                </c:pt>
                <c:pt idx="2">
                  <c:v>761.59581813452724</c:v>
                </c:pt>
                <c:pt idx="3">
                  <c:v>769.2672011239008</c:v>
                </c:pt>
                <c:pt idx="4">
                  <c:v>789.39696699442663</c:v>
                </c:pt>
              </c:numCache>
            </c:numRef>
          </c:xVal>
          <c:yVal>
            <c:numRef>
              <c:f>(Blue!$P$31,Blue!$P$29,Blue!$P$28,Blue!$P$30,Blue!$P$32)</c:f>
              <c:numCache>
                <c:formatCode>General</c:formatCode>
                <c:ptCount val="5"/>
                <c:pt idx="0">
                  <c:v>-1.3500000000000005</c:v>
                </c:pt>
                <c:pt idx="1">
                  <c:v>-1.7599999999999998</c:v>
                </c:pt>
                <c:pt idx="2">
                  <c:v>0.41999999999999993</c:v>
                </c:pt>
                <c:pt idx="3">
                  <c:v>1.5499999999999998</c:v>
                </c:pt>
                <c:pt idx="4">
                  <c:v>1.3499999999999996</c:v>
                </c:pt>
              </c:numCache>
            </c:numRef>
          </c:yVal>
          <c:smooth val="1"/>
        </c:ser>
        <c:ser>
          <c:idx val="2"/>
          <c:order val="2"/>
          <c:tx>
            <c:v>Row 3 Delta Y to Abstand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(Blue!$W$26,Blue!$W$24,Blue!$W$23,Blue!$W$25,Blue!$W$27)</c:f>
              <c:numCache>
                <c:formatCode>General</c:formatCode>
                <c:ptCount val="5"/>
                <c:pt idx="0">
                  <c:v>734.35917955725176</c:v>
                </c:pt>
                <c:pt idx="1">
                  <c:v>715.29839549659278</c:v>
                </c:pt>
                <c:pt idx="2">
                  <c:v>710.11999626823626</c:v>
                </c:pt>
                <c:pt idx="3">
                  <c:v>717.78664171534979</c:v>
                </c:pt>
                <c:pt idx="4">
                  <c:v>739.10913911613898</c:v>
                </c:pt>
              </c:numCache>
            </c:numRef>
          </c:xVal>
          <c:yVal>
            <c:numRef>
              <c:f>(Blue!$P$26,Blue!$P$24,Blue!$P$23,Blue!$P$25,Blue!$P$27)</c:f>
              <c:numCache>
                <c:formatCode>General</c:formatCode>
                <c:ptCount val="5"/>
                <c:pt idx="0">
                  <c:v>-4.5099999999999909</c:v>
                </c:pt>
                <c:pt idx="1">
                  <c:v>-3.4300000000000068</c:v>
                </c:pt>
                <c:pt idx="2">
                  <c:v>-2.0600000000000023</c:v>
                </c:pt>
                <c:pt idx="3">
                  <c:v>-2.2950000000000017</c:v>
                </c:pt>
                <c:pt idx="4">
                  <c:v>-1.4299999999999926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1557584"/>
        <c:axId val="360600056"/>
      </c:scatterChart>
      <c:valAx>
        <c:axId val="361557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60600056"/>
        <c:crosses val="autoZero"/>
        <c:crossBetween val="midCat"/>
      </c:valAx>
      <c:valAx>
        <c:axId val="360600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615575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6.0344925634295714E-2"/>
          <c:y val="0.18097222222222226"/>
          <c:w val="0.87621062992125986"/>
          <c:h val="0.77736111111111106"/>
        </c:manualLayout>
      </c:layout>
      <c:lineChart>
        <c:grouping val="standard"/>
        <c:varyColors val="0"/>
        <c:ser>
          <c:idx val="0"/>
          <c:order val="0"/>
          <c:tx>
            <c:v>DeltaZ to Abstand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layout/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cat>
            <c:numRef>
              <c:f>Tabelle1!$K$20:$K$34</c:f>
              <c:numCache>
                <c:formatCode>General</c:formatCode>
                <c:ptCount val="15"/>
                <c:pt idx="0">
                  <c:v>761.59581813452724</c:v>
                </c:pt>
                <c:pt idx="1">
                  <c:v>822.13331777759743</c:v>
                </c:pt>
                <c:pt idx="2">
                  <c:v>767.27510698575384</c:v>
                </c:pt>
                <c:pt idx="3">
                  <c:v>710.11999626823626</c:v>
                </c:pt>
                <c:pt idx="4">
                  <c:v>826.7381714303508</c:v>
                </c:pt>
                <c:pt idx="5">
                  <c:v>769.2672011239008</c:v>
                </c:pt>
                <c:pt idx="6">
                  <c:v>715.29839549659278</c:v>
                </c:pt>
                <c:pt idx="7">
                  <c:v>828.89751483521775</c:v>
                </c:pt>
                <c:pt idx="8">
                  <c:v>717.78664171534979</c:v>
                </c:pt>
                <c:pt idx="9">
                  <c:v>785.5644641911955</c:v>
                </c:pt>
                <c:pt idx="10">
                  <c:v>844.41385126015075</c:v>
                </c:pt>
                <c:pt idx="11">
                  <c:v>734.35917955725176</c:v>
                </c:pt>
                <c:pt idx="12">
                  <c:v>789.39696699442663</c:v>
                </c:pt>
                <c:pt idx="13">
                  <c:v>847.41435018531524</c:v>
                </c:pt>
                <c:pt idx="14">
                  <c:v>739.10913911613898</c:v>
                </c:pt>
              </c:numCache>
            </c:numRef>
          </c:cat>
          <c:val>
            <c:numRef>
              <c:f>Tabelle1!$O$20:$O$34</c:f>
              <c:numCache>
                <c:formatCode>General</c:formatCode>
                <c:ptCount val="15"/>
                <c:pt idx="0">
                  <c:v>-19.659999999999968</c:v>
                </c:pt>
                <c:pt idx="1">
                  <c:v>-15.399999999999977</c:v>
                </c:pt>
                <c:pt idx="2">
                  <c:v>-18.970000000000027</c:v>
                </c:pt>
                <c:pt idx="3">
                  <c:v>-13.710000000000036</c:v>
                </c:pt>
                <c:pt idx="4">
                  <c:v>-16.539999999999964</c:v>
                </c:pt>
                <c:pt idx="5">
                  <c:v>-14.975000000000023</c:v>
                </c:pt>
                <c:pt idx="6">
                  <c:v>-18.769999999999982</c:v>
                </c:pt>
                <c:pt idx="7">
                  <c:v>-18.029999999999973</c:v>
                </c:pt>
                <c:pt idx="8">
                  <c:v>-14.590000000000032</c:v>
                </c:pt>
                <c:pt idx="9">
                  <c:v>-13.080000000000041</c:v>
                </c:pt>
                <c:pt idx="10">
                  <c:v>-18.870000000000005</c:v>
                </c:pt>
                <c:pt idx="11">
                  <c:v>-17.220000000000027</c:v>
                </c:pt>
                <c:pt idx="12">
                  <c:v>-12.25</c:v>
                </c:pt>
                <c:pt idx="13">
                  <c:v>-14.639999999999986</c:v>
                </c:pt>
                <c:pt idx="14">
                  <c:v>-14.894999999999982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8776224"/>
        <c:axId val="358778968"/>
      </c:lineChart>
      <c:catAx>
        <c:axId val="358776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8778968"/>
        <c:crosses val="autoZero"/>
        <c:auto val="1"/>
        <c:lblAlgn val="ctr"/>
        <c:lblOffset val="100"/>
        <c:noMultiLvlLbl val="0"/>
      </c:catAx>
      <c:valAx>
        <c:axId val="358778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8776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344925634295714E-2"/>
          <c:y val="0.19486111111111112"/>
          <c:w val="0.87621062992125986"/>
          <c:h val="0.77736111111111106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6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yVal>
            <c:numRef>
              <c:f>Tabelle1!$O$20:$O$34</c:f>
              <c:numCache>
                <c:formatCode>General</c:formatCode>
                <c:ptCount val="15"/>
                <c:pt idx="0">
                  <c:v>-19.659999999999968</c:v>
                </c:pt>
                <c:pt idx="1">
                  <c:v>-15.399999999999977</c:v>
                </c:pt>
                <c:pt idx="2">
                  <c:v>-18.970000000000027</c:v>
                </c:pt>
                <c:pt idx="3">
                  <c:v>-13.710000000000036</c:v>
                </c:pt>
                <c:pt idx="4">
                  <c:v>-16.539999999999964</c:v>
                </c:pt>
                <c:pt idx="5">
                  <c:v>-14.975000000000023</c:v>
                </c:pt>
                <c:pt idx="6">
                  <c:v>-18.769999999999982</c:v>
                </c:pt>
                <c:pt idx="7">
                  <c:v>-18.029999999999973</c:v>
                </c:pt>
                <c:pt idx="8">
                  <c:v>-14.590000000000032</c:v>
                </c:pt>
                <c:pt idx="9">
                  <c:v>-13.080000000000041</c:v>
                </c:pt>
                <c:pt idx="10">
                  <c:v>-18.870000000000005</c:v>
                </c:pt>
                <c:pt idx="11">
                  <c:v>-17.220000000000027</c:v>
                </c:pt>
                <c:pt idx="12">
                  <c:v>-12.25</c:v>
                </c:pt>
                <c:pt idx="13">
                  <c:v>-14.639999999999986</c:v>
                </c:pt>
                <c:pt idx="14">
                  <c:v>-14.894999999999982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653944"/>
        <c:axId val="159656296"/>
      </c:scatterChart>
      <c:valAx>
        <c:axId val="159653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9656296"/>
        <c:crosses val="autoZero"/>
        <c:crossBetween val="midCat"/>
      </c:valAx>
      <c:valAx>
        <c:axId val="159656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9653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DeltaZ to Pixel Abstand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Tabelle1!$R$37:$R$51</c:f>
              <c:numCache>
                <c:formatCode>General</c:formatCode>
                <c:ptCount val="15"/>
                <c:pt idx="0">
                  <c:v>48.052055106935853</c:v>
                </c:pt>
                <c:pt idx="1">
                  <c:v>18.601075237738275</c:v>
                </c:pt>
                <c:pt idx="2">
                  <c:v>88.68483523128404</c:v>
                </c:pt>
                <c:pt idx="3">
                  <c:v>79.404030124421269</c:v>
                </c:pt>
                <c:pt idx="4">
                  <c:v>69.426219830839131</c:v>
                </c:pt>
                <c:pt idx="5">
                  <c:v>114.86513831445988</c:v>
                </c:pt>
                <c:pt idx="6">
                  <c:v>98.883770154661889</c:v>
                </c:pt>
                <c:pt idx="7">
                  <c:v>94.201910808645493</c:v>
                </c:pt>
                <c:pt idx="8">
                  <c:v>131.04579352272242</c:v>
                </c:pt>
                <c:pt idx="9">
                  <c:v>148</c:v>
                </c:pt>
                <c:pt idx="10">
                  <c:v>151.64761785138597</c:v>
                </c:pt>
                <c:pt idx="11">
                  <c:v>170.60187572239644</c:v>
                </c:pt>
                <c:pt idx="12">
                  <c:v>185.18099254513137</c:v>
                </c:pt>
                <c:pt idx="13">
                  <c:v>176.72577627499618</c:v>
                </c:pt>
                <c:pt idx="14">
                  <c:v>208.00240383226344</c:v>
                </c:pt>
              </c:numCache>
            </c:numRef>
          </c:cat>
          <c:val>
            <c:numRef>
              <c:f>Tabelle1!$P$37:$P$51</c:f>
              <c:numCache>
                <c:formatCode>General</c:formatCode>
                <c:ptCount val="15"/>
                <c:pt idx="0">
                  <c:v>-15.399999999999977</c:v>
                </c:pt>
                <c:pt idx="1">
                  <c:v>-19.659999999999968</c:v>
                </c:pt>
                <c:pt idx="2">
                  <c:v>-13.710000000000036</c:v>
                </c:pt>
                <c:pt idx="3">
                  <c:v>-16.539999999999964</c:v>
                </c:pt>
                <c:pt idx="4">
                  <c:v>-18.970000000000027</c:v>
                </c:pt>
                <c:pt idx="5">
                  <c:v>-18.769999999999982</c:v>
                </c:pt>
                <c:pt idx="6">
                  <c:v>-18.029999999999973</c:v>
                </c:pt>
                <c:pt idx="7">
                  <c:v>-14.975000000000023</c:v>
                </c:pt>
                <c:pt idx="8">
                  <c:v>-14.590000000000032</c:v>
                </c:pt>
                <c:pt idx="9">
                  <c:v>-18.870000000000005</c:v>
                </c:pt>
                <c:pt idx="10">
                  <c:v>-13.080000000000041</c:v>
                </c:pt>
                <c:pt idx="11">
                  <c:v>-14.639999999999986</c:v>
                </c:pt>
                <c:pt idx="12">
                  <c:v>-17.220000000000027</c:v>
                </c:pt>
                <c:pt idx="13">
                  <c:v>-12.25</c:v>
                </c:pt>
                <c:pt idx="14">
                  <c:v>-14.894999999999982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8783280"/>
        <c:axId val="358776616"/>
      </c:lineChart>
      <c:catAx>
        <c:axId val="358783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8776616"/>
        <c:crosses val="autoZero"/>
        <c:auto val="1"/>
        <c:lblAlgn val="ctr"/>
        <c:lblOffset val="100"/>
        <c:noMultiLvlLbl val="0"/>
      </c:catAx>
      <c:valAx>
        <c:axId val="358776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8783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Delta Z to Abstand X Pix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Tabelle1!$T$37:$T$51</c:f>
              <c:numCache>
                <c:formatCode>General</c:formatCode>
                <c:ptCount val="15"/>
                <c:pt idx="0">
                  <c:v>10</c:v>
                </c:pt>
                <c:pt idx="1">
                  <c:v>11</c:v>
                </c:pt>
                <c:pt idx="2">
                  <c:v>11</c:v>
                </c:pt>
                <c:pt idx="3">
                  <c:v>64</c:v>
                </c:pt>
                <c:pt idx="4">
                  <c:v>68</c:v>
                </c:pt>
                <c:pt idx="5">
                  <c:v>75</c:v>
                </c:pt>
                <c:pt idx="6">
                  <c:v>87</c:v>
                </c:pt>
                <c:pt idx="7">
                  <c:v>93</c:v>
                </c:pt>
                <c:pt idx="8">
                  <c:v>98</c:v>
                </c:pt>
                <c:pt idx="9">
                  <c:v>140</c:v>
                </c:pt>
                <c:pt idx="10">
                  <c:v>151</c:v>
                </c:pt>
                <c:pt idx="11">
                  <c:v>164</c:v>
                </c:pt>
                <c:pt idx="12">
                  <c:v>164</c:v>
                </c:pt>
                <c:pt idx="13">
                  <c:v>176</c:v>
                </c:pt>
                <c:pt idx="14">
                  <c:v>188</c:v>
                </c:pt>
              </c:numCache>
            </c:numRef>
          </c:xVal>
          <c:yVal>
            <c:numRef>
              <c:f>Tabelle1!$P$37:$P$51</c:f>
              <c:numCache>
                <c:formatCode>General</c:formatCode>
                <c:ptCount val="15"/>
                <c:pt idx="0">
                  <c:v>-15.399999999999977</c:v>
                </c:pt>
                <c:pt idx="1">
                  <c:v>-19.659999999999968</c:v>
                </c:pt>
                <c:pt idx="2">
                  <c:v>-13.710000000000036</c:v>
                </c:pt>
                <c:pt idx="3">
                  <c:v>-16.539999999999964</c:v>
                </c:pt>
                <c:pt idx="4">
                  <c:v>-18.970000000000027</c:v>
                </c:pt>
                <c:pt idx="5">
                  <c:v>-18.769999999999982</c:v>
                </c:pt>
                <c:pt idx="6">
                  <c:v>-18.029999999999973</c:v>
                </c:pt>
                <c:pt idx="7">
                  <c:v>-14.975000000000023</c:v>
                </c:pt>
                <c:pt idx="8">
                  <c:v>-14.590000000000032</c:v>
                </c:pt>
                <c:pt idx="9">
                  <c:v>-18.870000000000005</c:v>
                </c:pt>
                <c:pt idx="10">
                  <c:v>-13.080000000000041</c:v>
                </c:pt>
                <c:pt idx="11">
                  <c:v>-14.639999999999986</c:v>
                </c:pt>
                <c:pt idx="12">
                  <c:v>-17.220000000000027</c:v>
                </c:pt>
                <c:pt idx="13">
                  <c:v>-12.25</c:v>
                </c:pt>
                <c:pt idx="14">
                  <c:v>-14.894999999999982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8777400"/>
        <c:axId val="358777792"/>
      </c:scatterChart>
      <c:valAx>
        <c:axId val="358777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8777792"/>
        <c:crosses val="autoZero"/>
        <c:crossBetween val="midCat"/>
      </c:valAx>
      <c:valAx>
        <c:axId val="35877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58777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Abstand x to DeltaZ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Tabelle1!$P$37:$P$51</c:f>
              <c:numCache>
                <c:formatCode>General</c:formatCode>
                <c:ptCount val="15"/>
                <c:pt idx="0">
                  <c:v>-15.399999999999977</c:v>
                </c:pt>
                <c:pt idx="1">
                  <c:v>-19.659999999999968</c:v>
                </c:pt>
                <c:pt idx="2">
                  <c:v>-13.710000000000036</c:v>
                </c:pt>
                <c:pt idx="3">
                  <c:v>-16.539999999999964</c:v>
                </c:pt>
                <c:pt idx="4">
                  <c:v>-18.970000000000027</c:v>
                </c:pt>
                <c:pt idx="5">
                  <c:v>-18.769999999999982</c:v>
                </c:pt>
                <c:pt idx="6">
                  <c:v>-18.029999999999973</c:v>
                </c:pt>
                <c:pt idx="7">
                  <c:v>-14.975000000000023</c:v>
                </c:pt>
                <c:pt idx="8">
                  <c:v>-14.590000000000032</c:v>
                </c:pt>
                <c:pt idx="9">
                  <c:v>-18.870000000000005</c:v>
                </c:pt>
                <c:pt idx="10">
                  <c:v>-13.080000000000041</c:v>
                </c:pt>
                <c:pt idx="11">
                  <c:v>-14.639999999999986</c:v>
                </c:pt>
                <c:pt idx="12">
                  <c:v>-17.220000000000027</c:v>
                </c:pt>
                <c:pt idx="13">
                  <c:v>-12.25</c:v>
                </c:pt>
                <c:pt idx="14">
                  <c:v>-14.894999999999982</c:v>
                </c:pt>
              </c:numCache>
            </c:numRef>
          </c:xVal>
          <c:yVal>
            <c:numRef>
              <c:f>Tabelle1!$U$37:$U$51</c:f>
              <c:numCache>
                <c:formatCode>General</c:formatCode>
                <c:ptCount val="15"/>
                <c:pt idx="0">
                  <c:v>47</c:v>
                </c:pt>
                <c:pt idx="1">
                  <c:v>15</c:v>
                </c:pt>
                <c:pt idx="2">
                  <c:v>88</c:v>
                </c:pt>
                <c:pt idx="3">
                  <c:v>47</c:v>
                </c:pt>
                <c:pt idx="4">
                  <c:v>14</c:v>
                </c:pt>
                <c:pt idx="5">
                  <c:v>87</c:v>
                </c:pt>
                <c:pt idx="6">
                  <c:v>47</c:v>
                </c:pt>
                <c:pt idx="7">
                  <c:v>15</c:v>
                </c:pt>
                <c:pt idx="8">
                  <c:v>87</c:v>
                </c:pt>
                <c:pt idx="9">
                  <c:v>48</c:v>
                </c:pt>
                <c:pt idx="10">
                  <c:v>14</c:v>
                </c:pt>
                <c:pt idx="11">
                  <c:v>47</c:v>
                </c:pt>
                <c:pt idx="12">
                  <c:v>86</c:v>
                </c:pt>
                <c:pt idx="13">
                  <c:v>16</c:v>
                </c:pt>
                <c:pt idx="14">
                  <c:v>89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674216"/>
        <c:axId val="378673040"/>
      </c:scatterChart>
      <c:valAx>
        <c:axId val="378674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673040"/>
        <c:crosses val="autoZero"/>
        <c:crossBetween val="midCat"/>
      </c:valAx>
      <c:valAx>
        <c:axId val="378673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674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Column 1Delta Z Abstand X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(Tabelle1!$P$46,Tabelle1!$P$47,Tabelle1!$P$49)</c:f>
              <c:numCache>
                <c:formatCode>General</c:formatCode>
                <c:ptCount val="3"/>
                <c:pt idx="0">
                  <c:v>-18.870000000000005</c:v>
                </c:pt>
                <c:pt idx="1">
                  <c:v>-13.080000000000041</c:v>
                </c:pt>
                <c:pt idx="2">
                  <c:v>-17.220000000000027</c:v>
                </c:pt>
              </c:numCache>
            </c:numRef>
          </c:xVal>
          <c:yVal>
            <c:numRef>
              <c:f>(Tabelle1!$T$46,Tabelle1!$T$47,Tabelle1!$T$49)</c:f>
              <c:numCache>
                <c:formatCode>General</c:formatCode>
                <c:ptCount val="3"/>
                <c:pt idx="0">
                  <c:v>140</c:v>
                </c:pt>
                <c:pt idx="1">
                  <c:v>151</c:v>
                </c:pt>
                <c:pt idx="2">
                  <c:v>164</c:v>
                </c:pt>
              </c:numCache>
            </c:numRef>
          </c:yVal>
          <c:smooth val="0"/>
        </c:ser>
        <c:ser>
          <c:idx val="1"/>
          <c:order val="1"/>
          <c:tx>
            <c:v>Column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(Tabelle1!$P$40,Tabelle1!$P$41,Tabelle1!$P$42)</c:f>
              <c:numCache>
                <c:formatCode>General</c:formatCode>
                <c:ptCount val="3"/>
                <c:pt idx="0">
                  <c:v>-16.539999999999964</c:v>
                </c:pt>
                <c:pt idx="1">
                  <c:v>-18.970000000000027</c:v>
                </c:pt>
                <c:pt idx="2">
                  <c:v>-18.769999999999982</c:v>
                </c:pt>
              </c:numCache>
            </c:numRef>
          </c:xVal>
          <c:yVal>
            <c:numRef>
              <c:f>(Tabelle1!$T$40,Tabelle1!$T$41,Tabelle1!$T$42)</c:f>
              <c:numCache>
                <c:formatCode>General</c:formatCode>
                <c:ptCount val="3"/>
                <c:pt idx="0">
                  <c:v>64</c:v>
                </c:pt>
                <c:pt idx="1">
                  <c:v>68</c:v>
                </c:pt>
                <c:pt idx="2">
                  <c:v>75</c:v>
                </c:pt>
              </c:numCache>
            </c:numRef>
          </c:yVal>
          <c:smooth val="0"/>
        </c:ser>
        <c:ser>
          <c:idx val="2"/>
          <c:order val="2"/>
          <c:tx>
            <c:v>Column 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(Tabelle1!$P$37,Tabelle1!$P$38,Tabelle1!$P$39)</c:f>
              <c:numCache>
                <c:formatCode>General</c:formatCode>
                <c:ptCount val="3"/>
                <c:pt idx="0">
                  <c:v>-15.399999999999977</c:v>
                </c:pt>
                <c:pt idx="1">
                  <c:v>-19.659999999999968</c:v>
                </c:pt>
                <c:pt idx="2">
                  <c:v>-13.710000000000036</c:v>
                </c:pt>
              </c:numCache>
            </c:numRef>
          </c:xVal>
          <c:yVal>
            <c:numRef>
              <c:f>(Tabelle1!$T$37,Tabelle1!$T$38,Tabelle1!$T$39)</c:f>
              <c:numCache>
                <c:formatCode>General</c:formatCode>
                <c:ptCount val="3"/>
                <c:pt idx="0">
                  <c:v>10</c:v>
                </c:pt>
                <c:pt idx="1">
                  <c:v>11</c:v>
                </c:pt>
                <c:pt idx="2">
                  <c:v>11</c:v>
                </c:pt>
              </c:numCache>
            </c:numRef>
          </c:yVal>
          <c:smooth val="0"/>
        </c:ser>
        <c:ser>
          <c:idx val="3"/>
          <c:order val="3"/>
          <c:tx>
            <c:v>Cloumn 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(Tabelle1!$P$43,Tabelle1!$P$44,Tabelle1!$P$45)</c:f>
              <c:numCache>
                <c:formatCode>General</c:formatCode>
                <c:ptCount val="3"/>
                <c:pt idx="0">
                  <c:v>-18.029999999999973</c:v>
                </c:pt>
                <c:pt idx="1">
                  <c:v>-14.975000000000023</c:v>
                </c:pt>
                <c:pt idx="2">
                  <c:v>-14.590000000000032</c:v>
                </c:pt>
              </c:numCache>
            </c:numRef>
          </c:xVal>
          <c:yVal>
            <c:numRef>
              <c:f>(Tabelle1!$T$43,Tabelle1!$T$44,Tabelle1!$T$45)</c:f>
              <c:numCache>
                <c:formatCode>General</c:formatCode>
                <c:ptCount val="3"/>
                <c:pt idx="0">
                  <c:v>87</c:v>
                </c:pt>
                <c:pt idx="1">
                  <c:v>93</c:v>
                </c:pt>
                <c:pt idx="2">
                  <c:v>98</c:v>
                </c:pt>
              </c:numCache>
            </c:numRef>
          </c:yVal>
          <c:smooth val="0"/>
        </c:ser>
        <c:ser>
          <c:idx val="4"/>
          <c:order val="4"/>
          <c:tx>
            <c:v>Cloumn 5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(Tabelle1!$P$48,Tabelle1!$P$50,Tabelle1!$P$51)</c:f>
              <c:numCache>
                <c:formatCode>General</c:formatCode>
                <c:ptCount val="3"/>
                <c:pt idx="0">
                  <c:v>-14.639999999999986</c:v>
                </c:pt>
                <c:pt idx="1">
                  <c:v>-12.25</c:v>
                </c:pt>
                <c:pt idx="2">
                  <c:v>-14.894999999999982</c:v>
                </c:pt>
              </c:numCache>
            </c:numRef>
          </c:xVal>
          <c:yVal>
            <c:numRef>
              <c:f>(Tabelle1!$T$48,Tabelle1!$T$50,Tabelle1!$T$51)</c:f>
              <c:numCache>
                <c:formatCode>General</c:formatCode>
                <c:ptCount val="3"/>
                <c:pt idx="0">
                  <c:v>164</c:v>
                </c:pt>
                <c:pt idx="1">
                  <c:v>176</c:v>
                </c:pt>
                <c:pt idx="2">
                  <c:v>188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668728"/>
        <c:axId val="378669904"/>
      </c:scatterChart>
      <c:valAx>
        <c:axId val="378668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669904"/>
        <c:crosses val="autoZero"/>
        <c:crossBetween val="midCat"/>
      </c:valAx>
      <c:valAx>
        <c:axId val="37866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668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548640</xdr:colOff>
      <xdr:row>38</xdr:row>
      <xdr:rowOff>76201</xdr:rowOff>
    </xdr:from>
    <xdr:to>
      <xdr:col>15</xdr:col>
      <xdr:colOff>142603</xdr:colOff>
      <xdr:row>58</xdr:row>
      <xdr:rowOff>108858</xdr:rowOff>
    </xdr:to>
    <xdr:graphicFrame macro="">
      <xdr:nvGraphicFramePr>
        <xdr:cNvPr id="6" name="Diagramm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426720</xdr:colOff>
      <xdr:row>38</xdr:row>
      <xdr:rowOff>137160</xdr:rowOff>
    </xdr:from>
    <xdr:to>
      <xdr:col>24</xdr:col>
      <xdr:colOff>129540</xdr:colOff>
      <xdr:row>58</xdr:row>
      <xdr:rowOff>7620</xdr:rowOff>
    </xdr:to>
    <xdr:graphicFrame macro="">
      <xdr:nvGraphicFramePr>
        <xdr:cNvPr id="9" name="Diagramm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424542</xdr:colOff>
      <xdr:row>38</xdr:row>
      <xdr:rowOff>76201</xdr:rowOff>
    </xdr:from>
    <xdr:to>
      <xdr:col>8</xdr:col>
      <xdr:colOff>127362</xdr:colOff>
      <xdr:row>57</xdr:row>
      <xdr:rowOff>131718</xdr:rowOff>
    </xdr:to>
    <xdr:graphicFrame macro="">
      <xdr:nvGraphicFramePr>
        <xdr:cNvPr id="12" name="Diagramm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489857</xdr:colOff>
      <xdr:row>16</xdr:row>
      <xdr:rowOff>163286</xdr:rowOff>
    </xdr:from>
    <xdr:to>
      <xdr:col>14</xdr:col>
      <xdr:colOff>83820</xdr:colOff>
      <xdr:row>37</xdr:row>
      <xdr:rowOff>10886</xdr:rowOff>
    </xdr:to>
    <xdr:graphicFrame macro="">
      <xdr:nvGraphicFramePr>
        <xdr:cNvPr id="13" name="Diagramm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716280</xdr:colOff>
      <xdr:row>19</xdr:row>
      <xdr:rowOff>38100</xdr:rowOff>
    </xdr:from>
    <xdr:to>
      <xdr:col>6</xdr:col>
      <xdr:colOff>533400</xdr:colOff>
      <xdr:row>34</xdr:row>
      <xdr:rowOff>38100</xdr:rowOff>
    </xdr:to>
    <xdr:graphicFrame macro="">
      <xdr:nvGraphicFramePr>
        <xdr:cNvPr id="2" name="Diagramm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350520</xdr:colOff>
      <xdr:row>18</xdr:row>
      <xdr:rowOff>7620</xdr:rowOff>
    </xdr:from>
    <xdr:to>
      <xdr:col>13</xdr:col>
      <xdr:colOff>167640</xdr:colOff>
      <xdr:row>33</xdr:row>
      <xdr:rowOff>7620</xdr:rowOff>
    </xdr:to>
    <xdr:graphicFrame macro="">
      <xdr:nvGraphicFramePr>
        <xdr:cNvPr id="3" name="Diagramm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430531</xdr:colOff>
      <xdr:row>19</xdr:row>
      <xdr:rowOff>4354</xdr:rowOff>
    </xdr:from>
    <xdr:to>
      <xdr:col>13</xdr:col>
      <xdr:colOff>245473</xdr:colOff>
      <xdr:row>34</xdr:row>
      <xdr:rowOff>4354</xdr:rowOff>
    </xdr:to>
    <xdr:graphicFrame macro="">
      <xdr:nvGraphicFramePr>
        <xdr:cNvPr id="4" name="Diagramm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587828</xdr:colOff>
      <xdr:row>17</xdr:row>
      <xdr:rowOff>141515</xdr:rowOff>
    </xdr:from>
    <xdr:to>
      <xdr:col>19</xdr:col>
      <xdr:colOff>391885</xdr:colOff>
      <xdr:row>32</xdr:row>
      <xdr:rowOff>108857</xdr:rowOff>
    </xdr:to>
    <xdr:graphicFrame macro="">
      <xdr:nvGraphicFramePr>
        <xdr:cNvPr id="6" name="Diagramm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97969</xdr:colOff>
      <xdr:row>12</xdr:row>
      <xdr:rowOff>185056</xdr:rowOff>
    </xdr:from>
    <xdr:to>
      <xdr:col>25</xdr:col>
      <xdr:colOff>631370</xdr:colOff>
      <xdr:row>34</xdr:row>
      <xdr:rowOff>10884</xdr:rowOff>
    </xdr:to>
    <xdr:graphicFrame macro="">
      <xdr:nvGraphicFramePr>
        <xdr:cNvPr id="7" name="Diagramm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576941</xdr:colOff>
      <xdr:row>17</xdr:row>
      <xdr:rowOff>152400</xdr:rowOff>
    </xdr:from>
    <xdr:to>
      <xdr:col>23</xdr:col>
      <xdr:colOff>555171</xdr:colOff>
      <xdr:row>44</xdr:row>
      <xdr:rowOff>141514</xdr:rowOff>
    </xdr:to>
    <xdr:graphicFrame macro="">
      <xdr:nvGraphicFramePr>
        <xdr:cNvPr id="9" name="Diagramm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AV37"/>
  <sheetViews>
    <sheetView topLeftCell="K1" zoomScale="70" zoomScaleNormal="70" workbookViewId="0">
      <selection activeCell="Y1" sqref="Y1:Z16"/>
    </sheetView>
  </sheetViews>
  <sheetFormatPr baseColWidth="10" defaultRowHeight="14.4" x14ac:dyDescent="0.3"/>
  <sheetData>
    <row r="1" spans="1:48" x14ac:dyDescent="0.3">
      <c r="A1" s="1"/>
      <c r="B1" t="s">
        <v>0</v>
      </c>
      <c r="C1" t="s">
        <v>1</v>
      </c>
      <c r="D1" t="s">
        <v>2</v>
      </c>
      <c r="E1" t="s">
        <v>3</v>
      </c>
      <c r="F1" t="s">
        <v>1</v>
      </c>
      <c r="G1" t="s">
        <v>2</v>
      </c>
      <c r="H1" t="s">
        <v>4</v>
      </c>
      <c r="I1" t="s">
        <v>5</v>
      </c>
      <c r="J1" t="s">
        <v>1</v>
      </c>
      <c r="K1" t="s">
        <v>2</v>
      </c>
      <c r="L1" t="s">
        <v>4</v>
      </c>
      <c r="M1" t="s">
        <v>11</v>
      </c>
      <c r="N1" t="s">
        <v>1</v>
      </c>
      <c r="O1" t="s">
        <v>2</v>
      </c>
      <c r="P1" t="s">
        <v>4</v>
      </c>
      <c r="Q1" t="s">
        <v>12</v>
      </c>
      <c r="R1" t="s">
        <v>1</v>
      </c>
      <c r="S1" t="s">
        <v>2</v>
      </c>
      <c r="T1" t="s">
        <v>4</v>
      </c>
      <c r="U1" t="s">
        <v>13</v>
      </c>
      <c r="V1" t="s">
        <v>1</v>
      </c>
      <c r="W1" t="s">
        <v>2</v>
      </c>
      <c r="X1" t="s">
        <v>4</v>
      </c>
      <c r="Y1" t="s">
        <v>14</v>
      </c>
      <c r="AC1" t="s">
        <v>6</v>
      </c>
      <c r="AD1" t="s">
        <v>1</v>
      </c>
      <c r="AE1" t="s">
        <v>2</v>
      </c>
      <c r="AF1" t="s">
        <v>4</v>
      </c>
      <c r="AG1" t="s">
        <v>7</v>
      </c>
      <c r="AH1" t="s">
        <v>1</v>
      </c>
      <c r="AI1" t="s">
        <v>2</v>
      </c>
      <c r="AJ1" t="s">
        <v>4</v>
      </c>
      <c r="AK1" t="s">
        <v>8</v>
      </c>
      <c r="AL1" t="s">
        <v>1</v>
      </c>
      <c r="AM1" t="s">
        <v>2</v>
      </c>
      <c r="AN1" t="s">
        <v>4</v>
      </c>
      <c r="AO1" t="s">
        <v>9</v>
      </c>
      <c r="AP1" t="s">
        <v>1</v>
      </c>
      <c r="AQ1" t="s">
        <v>2</v>
      </c>
      <c r="AR1" t="s">
        <v>4</v>
      </c>
      <c r="AS1" t="s">
        <v>10</v>
      </c>
      <c r="AT1" t="s">
        <v>1</v>
      </c>
      <c r="AU1" t="s">
        <v>2</v>
      </c>
      <c r="AV1" t="s">
        <v>4</v>
      </c>
    </row>
    <row r="2" spans="1:48" x14ac:dyDescent="0.3">
      <c r="A2">
        <v>1</v>
      </c>
      <c r="C2">
        <v>500</v>
      </c>
      <c r="D2">
        <v>312</v>
      </c>
      <c r="F2">
        <v>-184.91</v>
      </c>
      <c r="G2">
        <v>-77.89</v>
      </c>
      <c r="H2">
        <v>838</v>
      </c>
      <c r="J2">
        <v>-188</v>
      </c>
      <c r="K2">
        <v>-76</v>
      </c>
      <c r="L2">
        <v>838</v>
      </c>
      <c r="N2">
        <v>-181.13</v>
      </c>
      <c r="O2">
        <v>-77.28</v>
      </c>
      <c r="P2">
        <v>821.13</v>
      </c>
      <c r="R2">
        <f>SUM(N2,-F2)</f>
        <v>3.7800000000000011</v>
      </c>
      <c r="S2">
        <f>O2-G2</f>
        <v>0.60999999999999943</v>
      </c>
      <c r="T2">
        <f>P2-H2</f>
        <v>-16.870000000000005</v>
      </c>
      <c r="V2">
        <f>N2-J2</f>
        <v>6.8700000000000045</v>
      </c>
      <c r="W2">
        <f>O2-K2</f>
        <v>-1.2800000000000011</v>
      </c>
      <c r="X2">
        <f>P2-L2</f>
        <v>-16.870000000000005</v>
      </c>
      <c r="Z2">
        <f xml:space="preserve"> (N2^2+O2^2+P2^2)^0.5</f>
        <v>844.41385126015075</v>
      </c>
      <c r="AD2">
        <v>209.6</v>
      </c>
      <c r="AE2">
        <v>546.99</v>
      </c>
      <c r="AF2">
        <v>36.67</v>
      </c>
      <c r="AH2">
        <v>212.65</v>
      </c>
      <c r="AI2">
        <v>548.61</v>
      </c>
      <c r="AJ2">
        <v>35.57</v>
      </c>
      <c r="AL2">
        <v>205.6</v>
      </c>
      <c r="AM2">
        <v>557.16</v>
      </c>
      <c r="AN2">
        <v>50.09</v>
      </c>
      <c r="AP2">
        <f>SUM(AL2,-AD2)</f>
        <v>-4</v>
      </c>
      <c r="AQ2">
        <f>SUM(AM2,-AE2)</f>
        <v>10.169999999999959</v>
      </c>
      <c r="AR2">
        <f>SUM(AN2,-AF2)</f>
        <v>13.420000000000002</v>
      </c>
      <c r="AT2">
        <f>SUM(AL2,-AH2)</f>
        <v>-7.0500000000000114</v>
      </c>
      <c r="AU2">
        <f>SUM(AM2,-AI2)</f>
        <v>8.5499999999999545</v>
      </c>
      <c r="AV2">
        <f>SUM(AN2,-AJ2)</f>
        <v>14.520000000000003</v>
      </c>
    </row>
    <row r="3" spans="1:48" x14ac:dyDescent="0.3">
      <c r="A3">
        <v>2</v>
      </c>
      <c r="C3">
        <v>577</v>
      </c>
      <c r="D3">
        <v>313</v>
      </c>
      <c r="F3">
        <v>-80.069999999999993</v>
      </c>
      <c r="G3">
        <v>-76.25</v>
      </c>
      <c r="H3">
        <v>835</v>
      </c>
      <c r="J3">
        <v>-83</v>
      </c>
      <c r="K3">
        <v>-75</v>
      </c>
      <c r="L3">
        <v>835</v>
      </c>
      <c r="N3">
        <v>-79.67</v>
      </c>
      <c r="O3">
        <v>-75.06</v>
      </c>
      <c r="P3">
        <v>819.46</v>
      </c>
      <c r="R3">
        <f t="shared" ref="R3:R16" si="0">SUM(N3,-F3)</f>
        <v>0.39999999999999147</v>
      </c>
      <c r="S3">
        <f t="shared" ref="S3:S16" si="1">O3-G3</f>
        <v>1.1899999999999977</v>
      </c>
      <c r="T3">
        <f t="shared" ref="T3:T16" si="2">P3-H3</f>
        <v>-15.539999999999964</v>
      </c>
      <c r="V3">
        <f t="shared" ref="V3:V16" si="3">N3-J3</f>
        <v>3.3299999999999983</v>
      </c>
      <c r="W3">
        <f t="shared" ref="W3:W16" si="4">O3-K3</f>
        <v>-6.0000000000002274E-2</v>
      </c>
      <c r="X3">
        <f t="shared" ref="X3:X16" si="5">P3-L3</f>
        <v>-15.539999999999964</v>
      </c>
      <c r="Z3">
        <f t="shared" ref="Z3:Z16" si="6" xml:space="preserve"> (N3^2+O3^2+P3^2)^0.5</f>
        <v>826.7381714303508</v>
      </c>
      <c r="AD3">
        <v>104.72</v>
      </c>
      <c r="AE3">
        <v>547.80999999999995</v>
      </c>
      <c r="AF3">
        <v>38.159999999999997</v>
      </c>
      <c r="AH3">
        <v>107.62</v>
      </c>
      <c r="AI3">
        <v>548.9</v>
      </c>
      <c r="AJ3">
        <v>37.44</v>
      </c>
      <c r="AL3">
        <v>104.11</v>
      </c>
      <c r="AM3">
        <v>557.76</v>
      </c>
      <c r="AN3">
        <v>50.16</v>
      </c>
      <c r="AP3">
        <f t="shared" ref="AP3:AP16" si="7">SUM(AL3,-AD3)</f>
        <v>-0.60999999999999943</v>
      </c>
      <c r="AQ3">
        <f t="shared" ref="AQ3:AQ16" si="8">SUM(AM3,-AE3)</f>
        <v>9.9500000000000455</v>
      </c>
      <c r="AR3">
        <f t="shared" ref="AR3:AR16" si="9">SUM(AN3,-AF3)</f>
        <v>12</v>
      </c>
      <c r="AT3">
        <f t="shared" ref="AT3:AT16" si="10">SUM(AL3,-AH3)</f>
        <v>-3.5100000000000051</v>
      </c>
      <c r="AU3">
        <f t="shared" ref="AU3:AU16" si="11">SUM(AM3,-AI3)</f>
        <v>8.8600000000000136</v>
      </c>
      <c r="AV3">
        <f t="shared" ref="AV3:AV16" si="12">SUM(AN3,-AJ3)</f>
        <v>12.719999999999999</v>
      </c>
    </row>
    <row r="4" spans="1:48" x14ac:dyDescent="0.3">
      <c r="A4">
        <v>3</v>
      </c>
      <c r="C4">
        <v>651</v>
      </c>
      <c r="D4">
        <v>313</v>
      </c>
      <c r="F4">
        <v>20.03</v>
      </c>
      <c r="G4">
        <v>-76.25</v>
      </c>
      <c r="H4">
        <v>835</v>
      </c>
      <c r="J4">
        <v>18</v>
      </c>
      <c r="K4">
        <v>-75</v>
      </c>
      <c r="L4">
        <v>835</v>
      </c>
      <c r="N4">
        <v>18.690000000000001</v>
      </c>
      <c r="O4">
        <v>-73.81</v>
      </c>
      <c r="P4">
        <v>818.6</v>
      </c>
      <c r="R4">
        <f t="shared" si="0"/>
        <v>-1.3399999999999999</v>
      </c>
      <c r="S4">
        <f t="shared" si="1"/>
        <v>2.4399999999999977</v>
      </c>
      <c r="T4">
        <f t="shared" si="2"/>
        <v>-16.399999999999977</v>
      </c>
      <c r="V4">
        <f t="shared" si="3"/>
        <v>0.69000000000000128</v>
      </c>
      <c r="W4">
        <f t="shared" si="4"/>
        <v>1.1899999999999977</v>
      </c>
      <c r="X4">
        <f t="shared" si="5"/>
        <v>-16.399999999999977</v>
      </c>
      <c r="Z4">
        <f t="shared" si="6"/>
        <v>822.13331777759743</v>
      </c>
      <c r="AD4">
        <v>4.6500000000000004</v>
      </c>
      <c r="AE4">
        <v>545.66</v>
      </c>
      <c r="AF4">
        <v>38.159999999999997</v>
      </c>
      <c r="AH4">
        <v>6.64</v>
      </c>
      <c r="AI4">
        <v>546.73</v>
      </c>
      <c r="AJ4">
        <v>37.43</v>
      </c>
      <c r="AL4">
        <v>5.73</v>
      </c>
      <c r="AM4">
        <v>557.16999999999996</v>
      </c>
      <c r="AN4">
        <v>50.13</v>
      </c>
      <c r="AP4">
        <f t="shared" si="7"/>
        <v>1.08</v>
      </c>
      <c r="AQ4">
        <f t="shared" si="8"/>
        <v>11.509999999999991</v>
      </c>
      <c r="AR4">
        <f t="shared" si="9"/>
        <v>11.970000000000006</v>
      </c>
      <c r="AT4">
        <f t="shared" si="10"/>
        <v>-0.90999999999999925</v>
      </c>
      <c r="AU4">
        <f t="shared" si="11"/>
        <v>10.439999999999941</v>
      </c>
      <c r="AV4">
        <f t="shared" si="12"/>
        <v>12.700000000000003</v>
      </c>
    </row>
    <row r="5" spans="1:48" x14ac:dyDescent="0.3">
      <c r="A5">
        <v>4</v>
      </c>
      <c r="C5">
        <v>728</v>
      </c>
      <c r="D5">
        <v>313</v>
      </c>
      <c r="F5">
        <v>124.65</v>
      </c>
      <c r="G5">
        <v>-76.53</v>
      </c>
      <c r="H5">
        <v>838</v>
      </c>
      <c r="J5">
        <v>124</v>
      </c>
      <c r="K5">
        <v>-75</v>
      </c>
      <c r="L5">
        <v>838</v>
      </c>
      <c r="N5">
        <v>120.04</v>
      </c>
      <c r="O5">
        <v>-72.260000000000005</v>
      </c>
      <c r="P5">
        <v>816.97</v>
      </c>
      <c r="R5">
        <f t="shared" si="0"/>
        <v>-4.6099999999999994</v>
      </c>
      <c r="S5">
        <f t="shared" si="1"/>
        <v>4.269999999999996</v>
      </c>
      <c r="T5">
        <f t="shared" si="2"/>
        <v>-21.029999999999973</v>
      </c>
      <c r="V5">
        <f t="shared" si="3"/>
        <v>-3.9599999999999937</v>
      </c>
      <c r="W5">
        <f t="shared" si="4"/>
        <v>2.7399999999999949</v>
      </c>
      <c r="X5">
        <f t="shared" si="5"/>
        <v>-21.029999999999973</v>
      </c>
      <c r="Z5">
        <f t="shared" si="6"/>
        <v>828.89751483521775</v>
      </c>
      <c r="AD5">
        <v>-99.91</v>
      </c>
      <c r="AE5">
        <v>541.45000000000005</v>
      </c>
      <c r="AF5">
        <v>35.86</v>
      </c>
      <c r="AH5">
        <v>-99.28</v>
      </c>
      <c r="AI5">
        <v>542.72</v>
      </c>
      <c r="AJ5">
        <v>34.97</v>
      </c>
      <c r="AL5">
        <v>-95.64</v>
      </c>
      <c r="AM5">
        <v>557.19000000000005</v>
      </c>
      <c r="AN5">
        <v>50.55</v>
      </c>
      <c r="AP5">
        <f t="shared" si="7"/>
        <v>4.269999999999996</v>
      </c>
      <c r="AQ5">
        <f t="shared" si="8"/>
        <v>15.740000000000009</v>
      </c>
      <c r="AR5">
        <f t="shared" si="9"/>
        <v>14.689999999999998</v>
      </c>
      <c r="AT5">
        <f t="shared" si="10"/>
        <v>3.6400000000000006</v>
      </c>
      <c r="AU5">
        <f t="shared" si="11"/>
        <v>14.470000000000027</v>
      </c>
      <c r="AV5">
        <f t="shared" si="12"/>
        <v>15.579999999999998</v>
      </c>
    </row>
    <row r="6" spans="1:48" x14ac:dyDescent="0.3">
      <c r="A6">
        <v>5</v>
      </c>
      <c r="C6">
        <v>805</v>
      </c>
      <c r="D6">
        <v>314</v>
      </c>
      <c r="F6">
        <v>227.01</v>
      </c>
      <c r="G6">
        <v>-75.45</v>
      </c>
      <c r="H6">
        <v>830</v>
      </c>
      <c r="J6">
        <v>226</v>
      </c>
      <c r="K6">
        <v>-73</v>
      </c>
      <c r="L6">
        <v>830</v>
      </c>
      <c r="N6">
        <v>219.88</v>
      </c>
      <c r="O6">
        <v>-70.37</v>
      </c>
      <c r="P6">
        <v>815.36</v>
      </c>
      <c r="R6">
        <f t="shared" si="0"/>
        <v>-7.1299999999999955</v>
      </c>
      <c r="S6">
        <f t="shared" si="1"/>
        <v>5.0799999999999983</v>
      </c>
      <c r="T6">
        <f t="shared" si="2"/>
        <v>-14.639999999999986</v>
      </c>
      <c r="V6">
        <f t="shared" si="3"/>
        <v>-6.1200000000000045</v>
      </c>
      <c r="W6">
        <f t="shared" si="4"/>
        <v>2.6299999999999955</v>
      </c>
      <c r="X6">
        <f t="shared" si="5"/>
        <v>-14.639999999999986</v>
      </c>
      <c r="Z6">
        <f t="shared" si="6"/>
        <v>847.41435018531524</v>
      </c>
      <c r="AD6">
        <v>-202.38</v>
      </c>
      <c r="AE6">
        <v>545.57000000000005</v>
      </c>
      <c r="AF6">
        <v>41.18</v>
      </c>
      <c r="AH6">
        <v>-201.39</v>
      </c>
      <c r="AI6">
        <v>546.78</v>
      </c>
      <c r="AJ6">
        <v>40.340000000000003</v>
      </c>
      <c r="AL6">
        <v>-195.51</v>
      </c>
      <c r="AM6">
        <v>557.51</v>
      </c>
      <c r="AN6">
        <v>50.77</v>
      </c>
      <c r="AP6">
        <f t="shared" si="7"/>
        <v>6.8700000000000045</v>
      </c>
      <c r="AQ6">
        <f t="shared" si="8"/>
        <v>11.939999999999941</v>
      </c>
      <c r="AR6">
        <f t="shared" si="9"/>
        <v>9.5900000000000034</v>
      </c>
      <c r="AT6">
        <f t="shared" si="10"/>
        <v>5.8799999999999955</v>
      </c>
      <c r="AU6">
        <f t="shared" si="11"/>
        <v>10.730000000000018</v>
      </c>
      <c r="AV6">
        <f t="shared" si="12"/>
        <v>10.43</v>
      </c>
    </row>
    <row r="7" spans="1:48" x14ac:dyDescent="0.3">
      <c r="A7">
        <v>6</v>
      </c>
      <c r="C7">
        <v>489</v>
      </c>
      <c r="D7">
        <v>374</v>
      </c>
      <c r="F7">
        <v>-185.54</v>
      </c>
      <c r="G7">
        <v>6.16</v>
      </c>
      <c r="H7">
        <v>778</v>
      </c>
      <c r="J7">
        <v>-189</v>
      </c>
      <c r="K7">
        <v>8</v>
      </c>
      <c r="L7">
        <v>778</v>
      </c>
      <c r="N7">
        <v>-183.07</v>
      </c>
      <c r="O7">
        <v>4.8099999999999996</v>
      </c>
      <c r="P7">
        <v>763.92</v>
      </c>
      <c r="R7">
        <f t="shared" si="0"/>
        <v>2.4699999999999989</v>
      </c>
      <c r="S7">
        <f t="shared" si="1"/>
        <v>-1.3500000000000005</v>
      </c>
      <c r="T7">
        <f t="shared" si="2"/>
        <v>-14.080000000000041</v>
      </c>
      <c r="V7">
        <f t="shared" si="3"/>
        <v>5.9300000000000068</v>
      </c>
      <c r="W7">
        <f t="shared" si="4"/>
        <v>-3.1900000000000004</v>
      </c>
      <c r="X7">
        <f t="shared" si="5"/>
        <v>-14.080000000000041</v>
      </c>
      <c r="Z7">
        <f t="shared" si="6"/>
        <v>785.5644641911955</v>
      </c>
      <c r="AD7">
        <v>208</v>
      </c>
      <c r="AE7">
        <v>650.26</v>
      </c>
      <c r="AF7">
        <v>37.049999999999997</v>
      </c>
      <c r="AH7">
        <v>211.43</v>
      </c>
      <c r="AI7">
        <v>651.83000000000004</v>
      </c>
      <c r="AJ7">
        <v>35.979999999999997</v>
      </c>
      <c r="AL7">
        <v>205.39</v>
      </c>
      <c r="AM7">
        <v>657.24</v>
      </c>
      <c r="AN7">
        <v>49.31</v>
      </c>
      <c r="AP7">
        <f t="shared" si="7"/>
        <v>-2.6100000000000136</v>
      </c>
      <c r="AQ7">
        <f t="shared" si="8"/>
        <v>6.9800000000000182</v>
      </c>
      <c r="AR7">
        <f t="shared" si="9"/>
        <v>12.260000000000005</v>
      </c>
      <c r="AT7">
        <f t="shared" si="10"/>
        <v>-6.0400000000000205</v>
      </c>
      <c r="AU7">
        <f t="shared" si="11"/>
        <v>5.4099999999999682</v>
      </c>
      <c r="AV7">
        <f t="shared" si="12"/>
        <v>13.330000000000005</v>
      </c>
    </row>
    <row r="8" spans="1:48" x14ac:dyDescent="0.3">
      <c r="A8">
        <v>7</v>
      </c>
      <c r="C8">
        <v>573</v>
      </c>
      <c r="D8">
        <v>375</v>
      </c>
      <c r="F8">
        <v>-79.75</v>
      </c>
      <c r="G8">
        <v>7.43</v>
      </c>
      <c r="H8">
        <v>779</v>
      </c>
      <c r="J8">
        <v>-82</v>
      </c>
      <c r="K8">
        <v>9</v>
      </c>
      <c r="L8">
        <v>779</v>
      </c>
      <c r="N8">
        <v>-80.400000000000006</v>
      </c>
      <c r="O8">
        <v>5.67</v>
      </c>
      <c r="P8">
        <v>763.03</v>
      </c>
      <c r="R8">
        <f t="shared" si="0"/>
        <v>-0.65000000000000568</v>
      </c>
      <c r="S8">
        <f t="shared" si="1"/>
        <v>-1.7599999999999998</v>
      </c>
      <c r="T8">
        <f t="shared" si="2"/>
        <v>-15.970000000000027</v>
      </c>
      <c r="V8">
        <f t="shared" si="3"/>
        <v>1.5999999999999943</v>
      </c>
      <c r="W8">
        <f t="shared" si="4"/>
        <v>-3.33</v>
      </c>
      <c r="X8">
        <f t="shared" si="5"/>
        <v>-15.970000000000027</v>
      </c>
      <c r="Z8">
        <f t="shared" si="6"/>
        <v>767.27510698575384</v>
      </c>
      <c r="AD8">
        <v>102.24</v>
      </c>
      <c r="AE8">
        <v>648.45000000000005</v>
      </c>
      <c r="AF8">
        <v>35.479999999999997</v>
      </c>
      <c r="AH8">
        <v>104.45</v>
      </c>
      <c r="AI8">
        <v>649.77</v>
      </c>
      <c r="AJ8">
        <v>34.58</v>
      </c>
      <c r="AL8">
        <v>102.72</v>
      </c>
      <c r="AM8">
        <v>656.25</v>
      </c>
      <c r="AN8">
        <v>49.54</v>
      </c>
      <c r="AP8">
        <f t="shared" si="7"/>
        <v>0.48000000000000398</v>
      </c>
      <c r="AQ8">
        <f t="shared" si="8"/>
        <v>7.7999999999999545</v>
      </c>
      <c r="AR8">
        <f t="shared" si="9"/>
        <v>14.060000000000002</v>
      </c>
      <c r="AT8">
        <f t="shared" si="10"/>
        <v>-1.730000000000004</v>
      </c>
      <c r="AU8">
        <f t="shared" si="11"/>
        <v>6.4800000000000182</v>
      </c>
      <c r="AV8">
        <f t="shared" si="12"/>
        <v>14.96</v>
      </c>
    </row>
    <row r="9" spans="1:48" x14ac:dyDescent="0.3">
      <c r="A9">
        <v>8</v>
      </c>
      <c r="C9">
        <v>652</v>
      </c>
      <c r="D9">
        <v>375</v>
      </c>
      <c r="F9">
        <v>19.95</v>
      </c>
      <c r="G9">
        <v>7.43</v>
      </c>
      <c r="H9">
        <v>779</v>
      </c>
      <c r="J9">
        <v>18</v>
      </c>
      <c r="K9">
        <v>9</v>
      </c>
      <c r="L9">
        <v>779</v>
      </c>
      <c r="N9">
        <v>18.11</v>
      </c>
      <c r="O9">
        <v>7.85</v>
      </c>
      <c r="P9">
        <v>761.34</v>
      </c>
      <c r="R9">
        <f t="shared" si="0"/>
        <v>-1.8399999999999999</v>
      </c>
      <c r="S9">
        <f t="shared" si="1"/>
        <v>0.41999999999999993</v>
      </c>
      <c r="T9">
        <f t="shared" si="2"/>
        <v>-17.659999999999968</v>
      </c>
      <c r="V9">
        <f t="shared" si="3"/>
        <v>0.10999999999999943</v>
      </c>
      <c r="W9">
        <f t="shared" si="4"/>
        <v>-1.1500000000000004</v>
      </c>
      <c r="X9">
        <f t="shared" si="5"/>
        <v>-17.659999999999968</v>
      </c>
      <c r="Z9">
        <f t="shared" si="6"/>
        <v>761.59581813452724</v>
      </c>
      <c r="AD9">
        <v>2.5499999999999998</v>
      </c>
      <c r="AE9">
        <v>646.29999999999995</v>
      </c>
      <c r="AF9">
        <v>35.479999999999997</v>
      </c>
      <c r="AH9">
        <v>4.4800000000000004</v>
      </c>
      <c r="AI9">
        <v>647.62</v>
      </c>
      <c r="AJ9">
        <v>34.57</v>
      </c>
      <c r="AL9">
        <v>4.17</v>
      </c>
      <c r="AM9">
        <v>656.89</v>
      </c>
      <c r="AN9">
        <v>49.65</v>
      </c>
      <c r="AP9">
        <f t="shared" si="7"/>
        <v>1.62</v>
      </c>
      <c r="AQ9">
        <f t="shared" si="8"/>
        <v>10.590000000000032</v>
      </c>
      <c r="AR9">
        <f t="shared" si="9"/>
        <v>14.170000000000002</v>
      </c>
      <c r="AT9">
        <f t="shared" si="10"/>
        <v>-0.3100000000000005</v>
      </c>
      <c r="AU9">
        <f t="shared" si="11"/>
        <v>9.2699999999999818</v>
      </c>
      <c r="AV9">
        <f t="shared" si="12"/>
        <v>15.079999999999998</v>
      </c>
    </row>
    <row r="10" spans="1:48" x14ac:dyDescent="0.3">
      <c r="A10">
        <v>9</v>
      </c>
      <c r="C10">
        <v>733</v>
      </c>
      <c r="D10">
        <v>375</v>
      </c>
      <c r="F10">
        <v>121.65</v>
      </c>
      <c r="G10">
        <v>7.39</v>
      </c>
      <c r="H10">
        <v>775</v>
      </c>
      <c r="J10">
        <v>121</v>
      </c>
      <c r="K10">
        <v>9</v>
      </c>
      <c r="L10">
        <v>775</v>
      </c>
      <c r="N10">
        <v>118.55</v>
      </c>
      <c r="O10">
        <v>8.94</v>
      </c>
      <c r="P10">
        <v>760.02499999999998</v>
      </c>
      <c r="R10">
        <f t="shared" si="0"/>
        <v>-3.1000000000000085</v>
      </c>
      <c r="S10">
        <f t="shared" si="1"/>
        <v>1.5499999999999998</v>
      </c>
      <c r="T10">
        <f t="shared" si="2"/>
        <v>-14.975000000000023</v>
      </c>
      <c r="V10">
        <f t="shared" si="3"/>
        <v>-2.4500000000000028</v>
      </c>
      <c r="W10">
        <f t="shared" si="4"/>
        <v>-6.0000000000000497E-2</v>
      </c>
      <c r="X10">
        <f t="shared" si="5"/>
        <v>-14.975000000000023</v>
      </c>
      <c r="Z10">
        <f t="shared" si="6"/>
        <v>769.2672011239008</v>
      </c>
      <c r="AD10">
        <v>-99.07</v>
      </c>
      <c r="AE10">
        <v>646.4</v>
      </c>
      <c r="AF10">
        <v>38.76</v>
      </c>
      <c r="AH10">
        <v>-98.54</v>
      </c>
      <c r="AI10">
        <v>647.72</v>
      </c>
      <c r="AJ10">
        <v>37.83</v>
      </c>
      <c r="AL10">
        <v>-96.29</v>
      </c>
      <c r="AM10">
        <v>656.38</v>
      </c>
      <c r="AN10">
        <v>50.09</v>
      </c>
      <c r="AP10">
        <f t="shared" si="7"/>
        <v>2.7799999999999869</v>
      </c>
      <c r="AQ10">
        <f t="shared" si="8"/>
        <v>9.9800000000000182</v>
      </c>
      <c r="AR10">
        <f t="shared" si="9"/>
        <v>11.330000000000005</v>
      </c>
      <c r="AT10">
        <f t="shared" si="10"/>
        <v>2.25</v>
      </c>
      <c r="AU10">
        <f t="shared" si="11"/>
        <v>8.6599999999999682</v>
      </c>
      <c r="AV10">
        <f t="shared" si="12"/>
        <v>12.260000000000005</v>
      </c>
    </row>
    <row r="11" spans="1:48" x14ac:dyDescent="0.3">
      <c r="A11">
        <v>10</v>
      </c>
      <c r="C11">
        <v>815</v>
      </c>
      <c r="D11">
        <v>376</v>
      </c>
      <c r="F11">
        <v>225.1</v>
      </c>
      <c r="G11">
        <v>8.68</v>
      </c>
      <c r="H11">
        <v>777</v>
      </c>
      <c r="J11">
        <v>224</v>
      </c>
      <c r="K11">
        <v>10</v>
      </c>
      <c r="L11">
        <v>777</v>
      </c>
      <c r="N11">
        <v>217.59</v>
      </c>
      <c r="O11">
        <v>10.029999999999999</v>
      </c>
      <c r="P11">
        <v>758.75</v>
      </c>
      <c r="R11">
        <f t="shared" si="0"/>
        <v>-7.5099999999999909</v>
      </c>
      <c r="S11">
        <f t="shared" si="1"/>
        <v>1.3499999999999996</v>
      </c>
      <c r="T11">
        <f t="shared" si="2"/>
        <v>-18.25</v>
      </c>
      <c r="V11">
        <f t="shared" si="3"/>
        <v>-6.4099999999999966</v>
      </c>
      <c r="W11">
        <f t="shared" si="4"/>
        <v>2.9999999999999361E-2</v>
      </c>
      <c r="X11">
        <f t="shared" si="5"/>
        <v>-18.25</v>
      </c>
      <c r="Z11">
        <f t="shared" si="6"/>
        <v>789.39696699442663</v>
      </c>
      <c r="AD11">
        <v>-202.59</v>
      </c>
      <c r="AE11">
        <v>644.07000000000005</v>
      </c>
      <c r="AF11">
        <v>36.380000000000003</v>
      </c>
      <c r="AH11">
        <v>-201.51</v>
      </c>
      <c r="AI11">
        <v>645.16</v>
      </c>
      <c r="AJ11">
        <v>35.61</v>
      </c>
      <c r="AL11">
        <v>-195.34</v>
      </c>
      <c r="AM11">
        <v>655.88</v>
      </c>
      <c r="AN11">
        <v>50.49</v>
      </c>
      <c r="AP11">
        <f t="shared" si="7"/>
        <v>7.25</v>
      </c>
      <c r="AQ11">
        <f t="shared" si="8"/>
        <v>11.809999999999945</v>
      </c>
      <c r="AR11">
        <f t="shared" si="9"/>
        <v>14.11</v>
      </c>
      <c r="AT11">
        <f t="shared" si="10"/>
        <v>6.1699999999999875</v>
      </c>
      <c r="AU11">
        <f t="shared" si="11"/>
        <v>10.720000000000027</v>
      </c>
      <c r="AV11">
        <f t="shared" si="12"/>
        <v>14.880000000000003</v>
      </c>
    </row>
    <row r="12" spans="1:48" x14ac:dyDescent="0.3">
      <c r="A12">
        <v>11</v>
      </c>
      <c r="C12">
        <v>474</v>
      </c>
      <c r="D12">
        <v>449</v>
      </c>
      <c r="F12">
        <v>-189.73</v>
      </c>
      <c r="G12">
        <v>93.82</v>
      </c>
      <c r="H12">
        <v>722</v>
      </c>
      <c r="J12">
        <v>-192</v>
      </c>
      <c r="K12">
        <v>95</v>
      </c>
      <c r="L12">
        <v>722</v>
      </c>
      <c r="N12">
        <v>-185.99</v>
      </c>
      <c r="O12">
        <v>89.31</v>
      </c>
      <c r="P12">
        <v>704.78</v>
      </c>
      <c r="R12">
        <f t="shared" si="0"/>
        <v>3.7399999999999807</v>
      </c>
      <c r="S12">
        <f t="shared" si="1"/>
        <v>-4.5099999999999909</v>
      </c>
      <c r="T12">
        <f t="shared" si="2"/>
        <v>-17.220000000000027</v>
      </c>
      <c r="V12">
        <f t="shared" si="3"/>
        <v>6.0099999999999909</v>
      </c>
      <c r="W12">
        <f t="shared" si="4"/>
        <v>-5.6899999999999977</v>
      </c>
      <c r="X12">
        <f t="shared" si="5"/>
        <v>-17.220000000000027</v>
      </c>
      <c r="Z12">
        <f t="shared" si="6"/>
        <v>734.35917955725176</v>
      </c>
      <c r="AD12">
        <v>209.96</v>
      </c>
      <c r="AE12">
        <v>754.22</v>
      </c>
      <c r="AF12">
        <v>32.07</v>
      </c>
      <c r="AH12">
        <v>212.21</v>
      </c>
      <c r="AI12">
        <v>755.23</v>
      </c>
      <c r="AJ12">
        <v>31.39</v>
      </c>
      <c r="AL12">
        <v>206.1</v>
      </c>
      <c r="AM12">
        <v>760.42</v>
      </c>
      <c r="AN12">
        <v>48.73</v>
      </c>
      <c r="AP12">
        <f t="shared" si="7"/>
        <v>-3.8600000000000136</v>
      </c>
      <c r="AQ12">
        <f t="shared" si="8"/>
        <v>6.1999999999999318</v>
      </c>
      <c r="AR12">
        <f t="shared" si="9"/>
        <v>16.659999999999997</v>
      </c>
      <c r="AT12">
        <f t="shared" si="10"/>
        <v>-6.1100000000000136</v>
      </c>
      <c r="AU12">
        <f t="shared" si="11"/>
        <v>5.1899999999999409</v>
      </c>
      <c r="AV12">
        <f t="shared" si="12"/>
        <v>17.339999999999996</v>
      </c>
    </row>
    <row r="13" spans="1:48" x14ac:dyDescent="0.3">
      <c r="A13">
        <v>12</v>
      </c>
      <c r="C13">
        <v>567</v>
      </c>
      <c r="D13">
        <v>447</v>
      </c>
      <c r="F13">
        <v>-81.05</v>
      </c>
      <c r="G13">
        <v>91.59</v>
      </c>
      <c r="H13">
        <v>723</v>
      </c>
      <c r="J13">
        <v>-84</v>
      </c>
      <c r="K13">
        <v>94</v>
      </c>
      <c r="L13">
        <v>723</v>
      </c>
      <c r="N13">
        <v>-80.81</v>
      </c>
      <c r="O13">
        <v>88.16</v>
      </c>
      <c r="P13">
        <v>705.23</v>
      </c>
      <c r="R13">
        <f t="shared" si="0"/>
        <v>0.23999999999999488</v>
      </c>
      <c r="S13">
        <f t="shared" si="1"/>
        <v>-3.4300000000000068</v>
      </c>
      <c r="T13">
        <f t="shared" si="2"/>
        <v>-17.769999999999982</v>
      </c>
      <c r="V13">
        <f t="shared" si="3"/>
        <v>3.1899999999999977</v>
      </c>
      <c r="W13">
        <f t="shared" si="4"/>
        <v>-5.8400000000000034</v>
      </c>
      <c r="X13">
        <f t="shared" si="5"/>
        <v>-17.769999999999982</v>
      </c>
      <c r="Z13">
        <f t="shared" si="6"/>
        <v>715.29839549659278</v>
      </c>
      <c r="AD13">
        <v>101.36</v>
      </c>
      <c r="AE13">
        <v>749.49</v>
      </c>
      <c r="AF13">
        <v>32.54</v>
      </c>
      <c r="AH13">
        <v>104.27</v>
      </c>
      <c r="AI13">
        <v>751.52</v>
      </c>
      <c r="AJ13">
        <v>31.15</v>
      </c>
      <c r="AL13">
        <v>100.97</v>
      </c>
      <c r="AM13">
        <v>756.96</v>
      </c>
      <c r="AN13">
        <v>49.02</v>
      </c>
      <c r="AP13">
        <f t="shared" si="7"/>
        <v>-0.39000000000000057</v>
      </c>
      <c r="AQ13">
        <f t="shared" si="8"/>
        <v>7.4700000000000273</v>
      </c>
      <c r="AR13">
        <f t="shared" si="9"/>
        <v>16.480000000000004</v>
      </c>
      <c r="AT13">
        <f t="shared" si="10"/>
        <v>-3.2999999999999972</v>
      </c>
      <c r="AU13">
        <f t="shared" si="11"/>
        <v>5.4400000000000546</v>
      </c>
      <c r="AV13">
        <f t="shared" si="12"/>
        <v>17.870000000000005</v>
      </c>
    </row>
    <row r="14" spans="1:48" x14ac:dyDescent="0.3">
      <c r="A14">
        <v>13</v>
      </c>
      <c r="C14">
        <v>652</v>
      </c>
      <c r="D14">
        <v>447</v>
      </c>
      <c r="F14">
        <v>18.489999999999998</v>
      </c>
      <c r="G14">
        <v>91.47</v>
      </c>
      <c r="H14">
        <v>722</v>
      </c>
      <c r="J14">
        <v>17</v>
      </c>
      <c r="K14">
        <v>94</v>
      </c>
      <c r="L14">
        <v>722</v>
      </c>
      <c r="N14">
        <v>15.87</v>
      </c>
      <c r="O14">
        <v>89.41</v>
      </c>
      <c r="P14">
        <v>704.29</v>
      </c>
      <c r="R14">
        <f t="shared" si="0"/>
        <v>-2.6199999999999992</v>
      </c>
      <c r="S14">
        <f t="shared" si="1"/>
        <v>-2.0600000000000023</v>
      </c>
      <c r="T14">
        <f t="shared" si="2"/>
        <v>-17.710000000000036</v>
      </c>
      <c r="V14">
        <f t="shared" si="3"/>
        <v>-1.1300000000000008</v>
      </c>
      <c r="W14">
        <f t="shared" si="4"/>
        <v>-4.5900000000000034</v>
      </c>
      <c r="X14">
        <f t="shared" si="5"/>
        <v>-17.710000000000036</v>
      </c>
      <c r="Z14">
        <f t="shared" si="6"/>
        <v>710.11999626823626</v>
      </c>
      <c r="AD14">
        <v>1.83</v>
      </c>
      <c r="AE14">
        <v>747.83</v>
      </c>
      <c r="AF14">
        <v>33.42</v>
      </c>
      <c r="AH14">
        <v>3.28</v>
      </c>
      <c r="AI14">
        <v>749.92</v>
      </c>
      <c r="AJ14">
        <v>31.96</v>
      </c>
      <c r="AL14">
        <v>4.2699999999999996</v>
      </c>
      <c r="AM14">
        <v>756.45</v>
      </c>
      <c r="AN14">
        <v>49.06</v>
      </c>
      <c r="AP14">
        <f t="shared" si="7"/>
        <v>2.4399999999999995</v>
      </c>
      <c r="AQ14">
        <f t="shared" si="8"/>
        <v>8.6200000000000045</v>
      </c>
      <c r="AR14">
        <f t="shared" si="9"/>
        <v>15.64</v>
      </c>
      <c r="AT14">
        <f t="shared" si="10"/>
        <v>0.98999999999999977</v>
      </c>
      <c r="AU14">
        <f t="shared" si="11"/>
        <v>6.5300000000000864</v>
      </c>
      <c r="AV14">
        <f t="shared" si="12"/>
        <v>17.100000000000001</v>
      </c>
    </row>
    <row r="15" spans="1:48" x14ac:dyDescent="0.3">
      <c r="A15">
        <v>14</v>
      </c>
      <c r="C15">
        <v>740</v>
      </c>
      <c r="D15">
        <v>449</v>
      </c>
      <c r="F15">
        <v>120.76</v>
      </c>
      <c r="G15">
        <v>93.3</v>
      </c>
      <c r="H15">
        <v>718</v>
      </c>
      <c r="J15">
        <v>120</v>
      </c>
      <c r="K15">
        <v>95</v>
      </c>
      <c r="L15">
        <v>718</v>
      </c>
      <c r="N15">
        <v>116.43</v>
      </c>
      <c r="O15">
        <v>91.004999999999995</v>
      </c>
      <c r="P15">
        <v>702.41</v>
      </c>
      <c r="R15">
        <f t="shared" si="0"/>
        <v>-4.3299999999999983</v>
      </c>
      <c r="S15">
        <f t="shared" si="1"/>
        <v>-2.2950000000000017</v>
      </c>
      <c r="T15">
        <f t="shared" si="2"/>
        <v>-15.590000000000032</v>
      </c>
      <c r="V15">
        <f t="shared" si="3"/>
        <v>-3.5699999999999932</v>
      </c>
      <c r="W15">
        <f t="shared" si="4"/>
        <v>-3.9950000000000045</v>
      </c>
      <c r="X15">
        <f t="shared" si="5"/>
        <v>-15.590000000000032</v>
      </c>
      <c r="Z15">
        <f t="shared" si="6"/>
        <v>717.78664171534979</v>
      </c>
      <c r="AD15">
        <v>-100.49</v>
      </c>
      <c r="AE15">
        <v>749.44</v>
      </c>
      <c r="AF15">
        <v>35.619999999999997</v>
      </c>
      <c r="AH15">
        <v>-99.75</v>
      </c>
      <c r="AI15">
        <v>750.84</v>
      </c>
      <c r="AJ15">
        <v>34.64</v>
      </c>
      <c r="AL15">
        <v>-96.32</v>
      </c>
      <c r="AM15">
        <v>756.67</v>
      </c>
      <c r="AN15">
        <v>49.67</v>
      </c>
      <c r="AP15">
        <f t="shared" si="7"/>
        <v>4.1700000000000017</v>
      </c>
      <c r="AQ15">
        <f t="shared" si="8"/>
        <v>7.2299999999999045</v>
      </c>
      <c r="AR15">
        <f t="shared" si="9"/>
        <v>14.050000000000004</v>
      </c>
      <c r="AT15">
        <f t="shared" si="10"/>
        <v>3.4300000000000068</v>
      </c>
      <c r="AU15">
        <f t="shared" si="11"/>
        <v>5.8299999999999272</v>
      </c>
      <c r="AV15">
        <f t="shared" si="12"/>
        <v>15.030000000000001</v>
      </c>
    </row>
    <row r="16" spans="1:48" x14ac:dyDescent="0.3">
      <c r="A16">
        <v>15</v>
      </c>
      <c r="C16">
        <v>829</v>
      </c>
      <c r="D16">
        <v>450</v>
      </c>
      <c r="F16">
        <v>223.36</v>
      </c>
      <c r="G16">
        <v>94.07</v>
      </c>
      <c r="H16">
        <v>715</v>
      </c>
      <c r="J16">
        <v>222</v>
      </c>
      <c r="K16">
        <v>95</v>
      </c>
      <c r="L16">
        <v>715</v>
      </c>
      <c r="N16">
        <v>214.83</v>
      </c>
      <c r="O16">
        <v>92.64</v>
      </c>
      <c r="P16">
        <v>701.10500000000002</v>
      </c>
      <c r="R16">
        <f t="shared" si="0"/>
        <v>-8.5300000000000011</v>
      </c>
      <c r="S16">
        <f t="shared" si="1"/>
        <v>-1.4299999999999926</v>
      </c>
      <c r="T16">
        <f t="shared" si="2"/>
        <v>-13.894999999999982</v>
      </c>
      <c r="V16">
        <f t="shared" si="3"/>
        <v>-7.1699999999999875</v>
      </c>
      <c r="W16">
        <f t="shared" si="4"/>
        <v>-2.3599999999999994</v>
      </c>
      <c r="X16">
        <f t="shared" si="5"/>
        <v>-13.894999999999982</v>
      </c>
      <c r="Z16">
        <f t="shared" si="6"/>
        <v>739.10913911613898</v>
      </c>
      <c r="AD16">
        <v>-203.12</v>
      </c>
      <c r="AE16">
        <v>749.6</v>
      </c>
      <c r="AF16">
        <v>37.61</v>
      </c>
      <c r="AH16">
        <v>-201.77</v>
      </c>
      <c r="AI16">
        <v>750.38499999999999</v>
      </c>
      <c r="AJ16">
        <v>37.08</v>
      </c>
      <c r="AL16">
        <v>-194.71</v>
      </c>
      <c r="AM16">
        <v>756.65</v>
      </c>
      <c r="AN16">
        <v>49.78</v>
      </c>
      <c r="AP16">
        <f t="shared" si="7"/>
        <v>8.4099999999999966</v>
      </c>
      <c r="AQ16">
        <f t="shared" si="8"/>
        <v>7.0499999999999545</v>
      </c>
      <c r="AR16">
        <f t="shared" si="9"/>
        <v>12.170000000000002</v>
      </c>
      <c r="AT16">
        <f t="shared" si="10"/>
        <v>7.0600000000000023</v>
      </c>
      <c r="AU16">
        <f t="shared" si="11"/>
        <v>6.2649999999999864</v>
      </c>
      <c r="AV16">
        <f t="shared" si="12"/>
        <v>12.700000000000003</v>
      </c>
    </row>
    <row r="22" spans="1:24" x14ac:dyDescent="0.3">
      <c r="B22" t="s">
        <v>3</v>
      </c>
      <c r="C22" t="s">
        <v>1</v>
      </c>
      <c r="D22" t="s">
        <v>2</v>
      </c>
      <c r="E22" t="s">
        <v>4</v>
      </c>
      <c r="F22" t="s">
        <v>5</v>
      </c>
      <c r="G22" t="s">
        <v>1</v>
      </c>
      <c r="H22" t="s">
        <v>2</v>
      </c>
      <c r="I22" t="s">
        <v>4</v>
      </c>
      <c r="J22" t="s">
        <v>11</v>
      </c>
      <c r="K22" t="s">
        <v>1</v>
      </c>
      <c r="L22" t="s">
        <v>2</v>
      </c>
      <c r="M22" t="s">
        <v>4</v>
      </c>
      <c r="N22" t="s">
        <v>12</v>
      </c>
      <c r="O22" t="s">
        <v>1</v>
      </c>
      <c r="P22" t="s">
        <v>2</v>
      </c>
      <c r="Q22" t="s">
        <v>4</v>
      </c>
      <c r="R22" t="s">
        <v>13</v>
      </c>
      <c r="S22" t="s">
        <v>1</v>
      </c>
      <c r="T22" t="s">
        <v>2</v>
      </c>
      <c r="U22" t="s">
        <v>4</v>
      </c>
      <c r="V22" t="s">
        <v>14</v>
      </c>
    </row>
    <row r="23" spans="1:24" x14ac:dyDescent="0.3">
      <c r="A23">
        <v>13</v>
      </c>
      <c r="C23">
        <v>18.489999999999998</v>
      </c>
      <c r="D23">
        <v>91.47</v>
      </c>
      <c r="E23">
        <v>722</v>
      </c>
      <c r="G23">
        <v>17</v>
      </c>
      <c r="H23">
        <v>94</v>
      </c>
      <c r="I23">
        <v>722</v>
      </c>
      <c r="K23">
        <v>15.87</v>
      </c>
      <c r="L23">
        <v>89.41</v>
      </c>
      <c r="M23">
        <v>704.29</v>
      </c>
      <c r="O23">
        <f t="shared" ref="O23:O37" si="13">SUM(K23,-C23)</f>
        <v>-2.6199999999999992</v>
      </c>
      <c r="P23">
        <f t="shared" ref="P23:P37" si="14">L23-D23</f>
        <v>-2.0600000000000023</v>
      </c>
      <c r="Q23">
        <f t="shared" ref="Q23:Q37" si="15">M23-E23</f>
        <v>-17.710000000000036</v>
      </c>
      <c r="S23">
        <f t="shared" ref="S23:S37" si="16">K23-G23</f>
        <v>-1.1300000000000008</v>
      </c>
      <c r="T23">
        <f t="shared" ref="T23:T37" si="17">L23-H23</f>
        <v>-4.5900000000000034</v>
      </c>
      <c r="U23">
        <f t="shared" ref="U23:U37" si="18">M23-I23</f>
        <v>-17.710000000000036</v>
      </c>
      <c r="W23">
        <f t="shared" ref="W23:W37" si="19" xml:space="preserve"> (K23^2+L23^2+M23^2)^0.5</f>
        <v>710.11999626823626</v>
      </c>
      <c r="X23">
        <v>13</v>
      </c>
    </row>
    <row r="24" spans="1:24" x14ac:dyDescent="0.3">
      <c r="A24">
        <v>12</v>
      </c>
      <c r="C24">
        <v>-81.05</v>
      </c>
      <c r="D24">
        <v>91.59</v>
      </c>
      <c r="E24">
        <v>723</v>
      </c>
      <c r="G24">
        <v>-84</v>
      </c>
      <c r="H24">
        <v>94</v>
      </c>
      <c r="I24">
        <v>723</v>
      </c>
      <c r="K24">
        <v>-80.81</v>
      </c>
      <c r="L24">
        <v>88.16</v>
      </c>
      <c r="M24">
        <v>705.23</v>
      </c>
      <c r="O24">
        <f t="shared" si="13"/>
        <v>0.23999999999999488</v>
      </c>
      <c r="P24">
        <f t="shared" si="14"/>
        <v>-3.4300000000000068</v>
      </c>
      <c r="Q24">
        <f t="shared" si="15"/>
        <v>-17.769999999999982</v>
      </c>
      <c r="S24">
        <f t="shared" si="16"/>
        <v>3.1899999999999977</v>
      </c>
      <c r="T24">
        <f t="shared" si="17"/>
        <v>-5.8400000000000034</v>
      </c>
      <c r="U24">
        <f t="shared" si="18"/>
        <v>-17.769999999999982</v>
      </c>
      <c r="W24">
        <f t="shared" si="19"/>
        <v>715.29839549659278</v>
      </c>
      <c r="X24">
        <v>12</v>
      </c>
    </row>
    <row r="25" spans="1:24" x14ac:dyDescent="0.3">
      <c r="A25">
        <v>14</v>
      </c>
      <c r="C25">
        <v>120.76</v>
      </c>
      <c r="D25">
        <v>93.3</v>
      </c>
      <c r="E25">
        <v>718</v>
      </c>
      <c r="G25">
        <v>120</v>
      </c>
      <c r="H25">
        <v>95</v>
      </c>
      <c r="I25">
        <v>718</v>
      </c>
      <c r="K25">
        <v>116.43</v>
      </c>
      <c r="L25">
        <v>91.004999999999995</v>
      </c>
      <c r="M25">
        <v>702.41</v>
      </c>
      <c r="O25">
        <f t="shared" si="13"/>
        <v>-4.3299999999999983</v>
      </c>
      <c r="P25">
        <f t="shared" si="14"/>
        <v>-2.2950000000000017</v>
      </c>
      <c r="Q25">
        <f t="shared" si="15"/>
        <v>-15.590000000000032</v>
      </c>
      <c r="S25">
        <f t="shared" si="16"/>
        <v>-3.5699999999999932</v>
      </c>
      <c r="T25">
        <f t="shared" si="17"/>
        <v>-3.9950000000000045</v>
      </c>
      <c r="U25">
        <f t="shared" si="18"/>
        <v>-15.590000000000032</v>
      </c>
      <c r="W25">
        <f t="shared" si="19"/>
        <v>717.78664171534979</v>
      </c>
      <c r="X25">
        <v>14</v>
      </c>
    </row>
    <row r="26" spans="1:24" x14ac:dyDescent="0.3">
      <c r="A26">
        <v>11</v>
      </c>
      <c r="C26">
        <v>-189.73</v>
      </c>
      <c r="D26">
        <v>93.82</v>
      </c>
      <c r="E26">
        <v>722</v>
      </c>
      <c r="G26">
        <v>-192</v>
      </c>
      <c r="H26">
        <v>95</v>
      </c>
      <c r="I26">
        <v>722</v>
      </c>
      <c r="K26">
        <v>-185.99</v>
      </c>
      <c r="L26">
        <v>89.31</v>
      </c>
      <c r="M26">
        <v>704.78</v>
      </c>
      <c r="O26">
        <f t="shared" si="13"/>
        <v>3.7399999999999807</v>
      </c>
      <c r="P26">
        <f t="shared" si="14"/>
        <v>-4.5099999999999909</v>
      </c>
      <c r="Q26">
        <f t="shared" si="15"/>
        <v>-17.220000000000027</v>
      </c>
      <c r="S26">
        <f t="shared" si="16"/>
        <v>6.0099999999999909</v>
      </c>
      <c r="T26">
        <f t="shared" si="17"/>
        <v>-5.6899999999999977</v>
      </c>
      <c r="U26">
        <f t="shared" si="18"/>
        <v>-17.220000000000027</v>
      </c>
      <c r="W26">
        <f t="shared" si="19"/>
        <v>734.35917955725176</v>
      </c>
      <c r="X26">
        <v>11</v>
      </c>
    </row>
    <row r="27" spans="1:24" x14ac:dyDescent="0.3">
      <c r="A27">
        <v>15</v>
      </c>
      <c r="C27">
        <v>223.36</v>
      </c>
      <c r="D27">
        <v>94.07</v>
      </c>
      <c r="E27">
        <v>715</v>
      </c>
      <c r="G27">
        <v>222</v>
      </c>
      <c r="H27">
        <v>95</v>
      </c>
      <c r="I27">
        <v>715</v>
      </c>
      <c r="K27">
        <v>214.83</v>
      </c>
      <c r="L27">
        <v>92.64</v>
      </c>
      <c r="M27">
        <v>701.10500000000002</v>
      </c>
      <c r="O27">
        <f t="shared" si="13"/>
        <v>-8.5300000000000011</v>
      </c>
      <c r="P27">
        <f t="shared" si="14"/>
        <v>-1.4299999999999926</v>
      </c>
      <c r="Q27">
        <f t="shared" si="15"/>
        <v>-13.894999999999982</v>
      </c>
      <c r="S27">
        <f t="shared" si="16"/>
        <v>-7.1699999999999875</v>
      </c>
      <c r="T27">
        <f t="shared" si="17"/>
        <v>-2.3599999999999994</v>
      </c>
      <c r="U27">
        <f t="shared" si="18"/>
        <v>-13.894999999999982</v>
      </c>
      <c r="W27">
        <f t="shared" si="19"/>
        <v>739.10913911613898</v>
      </c>
      <c r="X27">
        <v>15</v>
      </c>
    </row>
    <row r="28" spans="1:24" x14ac:dyDescent="0.3">
      <c r="A28">
        <v>8</v>
      </c>
      <c r="C28">
        <v>19.95</v>
      </c>
      <c r="D28">
        <v>7.43</v>
      </c>
      <c r="E28">
        <v>779</v>
      </c>
      <c r="G28">
        <v>18</v>
      </c>
      <c r="H28">
        <v>9</v>
      </c>
      <c r="I28">
        <v>779</v>
      </c>
      <c r="K28">
        <v>18.11</v>
      </c>
      <c r="L28">
        <v>7.85</v>
      </c>
      <c r="M28">
        <v>761.34</v>
      </c>
      <c r="O28">
        <f t="shared" si="13"/>
        <v>-1.8399999999999999</v>
      </c>
      <c r="P28">
        <f t="shared" si="14"/>
        <v>0.41999999999999993</v>
      </c>
      <c r="Q28">
        <f t="shared" si="15"/>
        <v>-17.659999999999968</v>
      </c>
      <c r="S28">
        <f t="shared" si="16"/>
        <v>0.10999999999999943</v>
      </c>
      <c r="T28">
        <f t="shared" si="17"/>
        <v>-1.1500000000000004</v>
      </c>
      <c r="U28">
        <f t="shared" si="18"/>
        <v>-17.659999999999968</v>
      </c>
      <c r="W28">
        <f t="shared" si="19"/>
        <v>761.59581813452724</v>
      </c>
      <c r="X28">
        <v>8</v>
      </c>
    </row>
    <row r="29" spans="1:24" x14ac:dyDescent="0.3">
      <c r="A29">
        <v>7</v>
      </c>
      <c r="C29">
        <v>-79.75</v>
      </c>
      <c r="D29">
        <v>7.43</v>
      </c>
      <c r="E29">
        <v>779</v>
      </c>
      <c r="G29">
        <v>-82</v>
      </c>
      <c r="H29">
        <v>9</v>
      </c>
      <c r="I29">
        <v>779</v>
      </c>
      <c r="K29">
        <v>-80.400000000000006</v>
      </c>
      <c r="L29">
        <v>5.67</v>
      </c>
      <c r="M29">
        <v>763.03</v>
      </c>
      <c r="O29">
        <f t="shared" si="13"/>
        <v>-0.65000000000000568</v>
      </c>
      <c r="P29">
        <f t="shared" si="14"/>
        <v>-1.7599999999999998</v>
      </c>
      <c r="Q29">
        <f t="shared" si="15"/>
        <v>-15.970000000000027</v>
      </c>
      <c r="S29">
        <f t="shared" si="16"/>
        <v>1.5999999999999943</v>
      </c>
      <c r="T29">
        <f t="shared" si="17"/>
        <v>-3.33</v>
      </c>
      <c r="U29">
        <f t="shared" si="18"/>
        <v>-15.970000000000027</v>
      </c>
      <c r="W29">
        <f t="shared" si="19"/>
        <v>767.27510698575384</v>
      </c>
      <c r="X29">
        <v>7</v>
      </c>
    </row>
    <row r="30" spans="1:24" x14ac:dyDescent="0.3">
      <c r="A30">
        <v>9</v>
      </c>
      <c r="C30">
        <v>121.65</v>
      </c>
      <c r="D30">
        <v>7.39</v>
      </c>
      <c r="E30">
        <v>775</v>
      </c>
      <c r="G30">
        <v>121</v>
      </c>
      <c r="H30">
        <v>9</v>
      </c>
      <c r="I30">
        <v>775</v>
      </c>
      <c r="K30">
        <v>118.55</v>
      </c>
      <c r="L30">
        <v>8.94</v>
      </c>
      <c r="M30">
        <v>760.02499999999998</v>
      </c>
      <c r="O30">
        <f t="shared" si="13"/>
        <v>-3.1000000000000085</v>
      </c>
      <c r="P30">
        <f t="shared" si="14"/>
        <v>1.5499999999999998</v>
      </c>
      <c r="Q30">
        <f t="shared" si="15"/>
        <v>-14.975000000000023</v>
      </c>
      <c r="S30">
        <f t="shared" si="16"/>
        <v>-2.4500000000000028</v>
      </c>
      <c r="T30">
        <f t="shared" si="17"/>
        <v>-6.0000000000000497E-2</v>
      </c>
      <c r="U30">
        <f t="shared" si="18"/>
        <v>-14.975000000000023</v>
      </c>
      <c r="W30">
        <f t="shared" si="19"/>
        <v>769.2672011239008</v>
      </c>
      <c r="X30">
        <v>9</v>
      </c>
    </row>
    <row r="31" spans="1:24" x14ac:dyDescent="0.3">
      <c r="A31">
        <v>6</v>
      </c>
      <c r="C31">
        <v>-185.54</v>
      </c>
      <c r="D31">
        <v>6.16</v>
      </c>
      <c r="E31">
        <v>778</v>
      </c>
      <c r="G31">
        <v>-189</v>
      </c>
      <c r="H31">
        <v>8</v>
      </c>
      <c r="I31">
        <v>778</v>
      </c>
      <c r="K31">
        <v>-183.07</v>
      </c>
      <c r="L31">
        <v>4.8099999999999996</v>
      </c>
      <c r="M31">
        <v>763.92</v>
      </c>
      <c r="O31">
        <f t="shared" si="13"/>
        <v>2.4699999999999989</v>
      </c>
      <c r="P31">
        <f t="shared" si="14"/>
        <v>-1.3500000000000005</v>
      </c>
      <c r="Q31">
        <f t="shared" si="15"/>
        <v>-14.080000000000041</v>
      </c>
      <c r="S31">
        <f t="shared" si="16"/>
        <v>5.9300000000000068</v>
      </c>
      <c r="T31">
        <f t="shared" si="17"/>
        <v>-3.1900000000000004</v>
      </c>
      <c r="U31">
        <f t="shared" si="18"/>
        <v>-14.080000000000041</v>
      </c>
      <c r="W31">
        <f t="shared" si="19"/>
        <v>785.5644641911955</v>
      </c>
      <c r="X31">
        <v>6</v>
      </c>
    </row>
    <row r="32" spans="1:24" x14ac:dyDescent="0.3">
      <c r="A32">
        <v>10</v>
      </c>
      <c r="C32">
        <v>225.1</v>
      </c>
      <c r="D32">
        <v>8.68</v>
      </c>
      <c r="E32">
        <v>777</v>
      </c>
      <c r="G32">
        <v>224</v>
      </c>
      <c r="H32">
        <v>10</v>
      </c>
      <c r="I32">
        <v>777</v>
      </c>
      <c r="K32">
        <v>217.59</v>
      </c>
      <c r="L32">
        <v>10.029999999999999</v>
      </c>
      <c r="M32">
        <v>758.75</v>
      </c>
      <c r="O32">
        <f t="shared" si="13"/>
        <v>-7.5099999999999909</v>
      </c>
      <c r="P32">
        <f t="shared" si="14"/>
        <v>1.3499999999999996</v>
      </c>
      <c r="Q32">
        <f t="shared" si="15"/>
        <v>-18.25</v>
      </c>
      <c r="S32">
        <f t="shared" si="16"/>
        <v>-6.4099999999999966</v>
      </c>
      <c r="T32">
        <f t="shared" si="17"/>
        <v>2.9999999999999361E-2</v>
      </c>
      <c r="U32">
        <f t="shared" si="18"/>
        <v>-18.25</v>
      </c>
      <c r="W32">
        <f t="shared" si="19"/>
        <v>789.39696699442663</v>
      </c>
      <c r="X32">
        <v>10</v>
      </c>
    </row>
    <row r="33" spans="1:24" x14ac:dyDescent="0.3">
      <c r="A33">
        <v>3</v>
      </c>
      <c r="C33">
        <v>20.03</v>
      </c>
      <c r="D33">
        <v>-76.25</v>
      </c>
      <c r="E33">
        <v>835</v>
      </c>
      <c r="G33">
        <v>18</v>
      </c>
      <c r="H33">
        <v>-75</v>
      </c>
      <c r="I33">
        <v>835</v>
      </c>
      <c r="K33">
        <v>18.690000000000001</v>
      </c>
      <c r="L33">
        <v>-73.81</v>
      </c>
      <c r="M33">
        <v>818.6</v>
      </c>
      <c r="O33">
        <f t="shared" si="13"/>
        <v>-1.3399999999999999</v>
      </c>
      <c r="P33">
        <f t="shared" si="14"/>
        <v>2.4399999999999977</v>
      </c>
      <c r="Q33">
        <f t="shared" si="15"/>
        <v>-16.399999999999977</v>
      </c>
      <c r="S33">
        <f t="shared" si="16"/>
        <v>0.69000000000000128</v>
      </c>
      <c r="T33">
        <f t="shared" si="17"/>
        <v>1.1899999999999977</v>
      </c>
      <c r="U33">
        <f t="shared" si="18"/>
        <v>-16.399999999999977</v>
      </c>
      <c r="W33">
        <f t="shared" si="19"/>
        <v>822.13331777759743</v>
      </c>
      <c r="X33">
        <v>3</v>
      </c>
    </row>
    <row r="34" spans="1:24" x14ac:dyDescent="0.3">
      <c r="A34">
        <v>2</v>
      </c>
      <c r="C34">
        <v>-80.069999999999993</v>
      </c>
      <c r="D34">
        <v>-76.25</v>
      </c>
      <c r="E34">
        <v>835</v>
      </c>
      <c r="G34">
        <v>-83</v>
      </c>
      <c r="H34">
        <v>-75</v>
      </c>
      <c r="I34">
        <v>835</v>
      </c>
      <c r="K34">
        <v>-79.67</v>
      </c>
      <c r="L34">
        <v>-75.06</v>
      </c>
      <c r="M34">
        <v>819.46</v>
      </c>
      <c r="O34">
        <f t="shared" si="13"/>
        <v>0.39999999999999147</v>
      </c>
      <c r="P34">
        <f t="shared" si="14"/>
        <v>1.1899999999999977</v>
      </c>
      <c r="Q34">
        <f t="shared" si="15"/>
        <v>-15.539999999999964</v>
      </c>
      <c r="S34">
        <f t="shared" si="16"/>
        <v>3.3299999999999983</v>
      </c>
      <c r="T34">
        <f t="shared" si="17"/>
        <v>-6.0000000000002274E-2</v>
      </c>
      <c r="U34">
        <f t="shared" si="18"/>
        <v>-15.539999999999964</v>
      </c>
      <c r="W34">
        <f t="shared" si="19"/>
        <v>826.7381714303508</v>
      </c>
      <c r="X34">
        <v>2</v>
      </c>
    </row>
    <row r="35" spans="1:24" x14ac:dyDescent="0.3">
      <c r="A35">
        <v>4</v>
      </c>
      <c r="C35">
        <v>124.65</v>
      </c>
      <c r="D35">
        <v>-76.53</v>
      </c>
      <c r="E35">
        <v>838</v>
      </c>
      <c r="G35">
        <v>124</v>
      </c>
      <c r="H35">
        <v>-75</v>
      </c>
      <c r="I35">
        <v>838</v>
      </c>
      <c r="K35">
        <v>120.04</v>
      </c>
      <c r="L35">
        <v>-72.260000000000005</v>
      </c>
      <c r="M35">
        <v>816.97</v>
      </c>
      <c r="O35">
        <f t="shared" si="13"/>
        <v>-4.6099999999999994</v>
      </c>
      <c r="P35">
        <f t="shared" si="14"/>
        <v>4.269999999999996</v>
      </c>
      <c r="Q35">
        <f t="shared" si="15"/>
        <v>-21.029999999999973</v>
      </c>
      <c r="S35">
        <f t="shared" si="16"/>
        <v>-3.9599999999999937</v>
      </c>
      <c r="T35">
        <f t="shared" si="17"/>
        <v>2.7399999999999949</v>
      </c>
      <c r="U35">
        <f t="shared" si="18"/>
        <v>-21.029999999999973</v>
      </c>
      <c r="W35">
        <f t="shared" si="19"/>
        <v>828.89751483521775</v>
      </c>
      <c r="X35">
        <v>4</v>
      </c>
    </row>
    <row r="36" spans="1:24" x14ac:dyDescent="0.3">
      <c r="A36">
        <v>1</v>
      </c>
      <c r="C36">
        <v>-184.91</v>
      </c>
      <c r="D36">
        <v>-77.89</v>
      </c>
      <c r="E36">
        <v>838</v>
      </c>
      <c r="G36">
        <v>-188</v>
      </c>
      <c r="H36">
        <v>-76</v>
      </c>
      <c r="I36">
        <v>838</v>
      </c>
      <c r="K36">
        <v>-181.13</v>
      </c>
      <c r="L36">
        <v>-77.28</v>
      </c>
      <c r="M36">
        <v>821.13</v>
      </c>
      <c r="O36">
        <f t="shared" si="13"/>
        <v>3.7800000000000011</v>
      </c>
      <c r="P36">
        <f t="shared" si="14"/>
        <v>0.60999999999999943</v>
      </c>
      <c r="Q36">
        <f t="shared" si="15"/>
        <v>-16.870000000000005</v>
      </c>
      <c r="S36">
        <f t="shared" si="16"/>
        <v>6.8700000000000045</v>
      </c>
      <c r="T36">
        <f t="shared" si="17"/>
        <v>-1.2800000000000011</v>
      </c>
      <c r="U36">
        <f t="shared" si="18"/>
        <v>-16.870000000000005</v>
      </c>
      <c r="W36">
        <f t="shared" si="19"/>
        <v>844.41385126015075</v>
      </c>
      <c r="X36">
        <v>1</v>
      </c>
    </row>
    <row r="37" spans="1:24" x14ac:dyDescent="0.3">
      <c r="A37">
        <v>5</v>
      </c>
      <c r="C37">
        <v>227.01</v>
      </c>
      <c r="D37">
        <v>-75.45</v>
      </c>
      <c r="E37">
        <v>830</v>
      </c>
      <c r="G37">
        <v>226</v>
      </c>
      <c r="H37">
        <v>-73</v>
      </c>
      <c r="I37">
        <v>830</v>
      </c>
      <c r="K37">
        <v>219.88</v>
      </c>
      <c r="L37">
        <v>-70.37</v>
      </c>
      <c r="M37">
        <v>815.36</v>
      </c>
      <c r="O37">
        <f t="shared" si="13"/>
        <v>-7.1299999999999955</v>
      </c>
      <c r="P37">
        <f t="shared" si="14"/>
        <v>5.0799999999999983</v>
      </c>
      <c r="Q37">
        <f t="shared" si="15"/>
        <v>-14.639999999999986</v>
      </c>
      <c r="S37">
        <f t="shared" si="16"/>
        <v>-6.1200000000000045</v>
      </c>
      <c r="T37">
        <f t="shared" si="17"/>
        <v>2.6299999999999955</v>
      </c>
      <c r="U37">
        <f t="shared" si="18"/>
        <v>-14.639999999999986</v>
      </c>
      <c r="W37">
        <f t="shared" si="19"/>
        <v>847.41435018531524</v>
      </c>
      <c r="X37">
        <v>5</v>
      </c>
    </row>
  </sheetData>
  <sortState ref="A23:W37">
    <sortCondition ref="W23"/>
  </sortState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2"/>
  <sheetViews>
    <sheetView tabSelected="1" topLeftCell="A11" zoomScale="70" zoomScaleNormal="70" workbookViewId="0">
      <selection activeCell="P42" sqref="P42"/>
    </sheetView>
  </sheetViews>
  <sheetFormatPr baseColWidth="10" defaultRowHeight="14.4" x14ac:dyDescent="0.3"/>
  <sheetData>
    <row r="1" spans="1:26" x14ac:dyDescent="0.3">
      <c r="B1" t="s">
        <v>0</v>
      </c>
      <c r="C1" t="s">
        <v>1</v>
      </c>
      <c r="D1" t="s">
        <v>2</v>
      </c>
      <c r="E1" t="s">
        <v>15</v>
      </c>
      <c r="F1" t="s">
        <v>1</v>
      </c>
      <c r="G1" t="s">
        <v>2</v>
      </c>
      <c r="H1" t="s">
        <v>4</v>
      </c>
      <c r="I1" t="s">
        <v>11</v>
      </c>
      <c r="J1" t="s">
        <v>1</v>
      </c>
      <c r="K1" t="s">
        <v>2</v>
      </c>
      <c r="L1" t="s">
        <v>4</v>
      </c>
      <c r="M1" t="s">
        <v>14</v>
      </c>
      <c r="O1" t="s">
        <v>9</v>
      </c>
      <c r="P1" t="s">
        <v>1</v>
      </c>
      <c r="Q1" t="s">
        <v>2</v>
      </c>
      <c r="R1" t="s">
        <v>4</v>
      </c>
      <c r="S1" t="s">
        <v>16</v>
      </c>
      <c r="U1" t="s">
        <v>17</v>
      </c>
      <c r="W1" t="s">
        <v>18</v>
      </c>
      <c r="Y1" t="s">
        <v>19</v>
      </c>
    </row>
    <row r="2" spans="1:26" x14ac:dyDescent="0.3">
      <c r="A2">
        <v>1</v>
      </c>
      <c r="C2">
        <v>500</v>
      </c>
      <c r="D2">
        <v>312</v>
      </c>
      <c r="F2">
        <v>-185.35</v>
      </c>
      <c r="G2">
        <v>-78</v>
      </c>
      <c r="H2">
        <v>840</v>
      </c>
      <c r="J2">
        <v>-181.13</v>
      </c>
      <c r="K2">
        <v>-77.28</v>
      </c>
      <c r="L2">
        <v>821.13</v>
      </c>
      <c r="N2">
        <f t="shared" ref="N2:N16" si="0" xml:space="preserve"> (J2^2+K2^2+L2^2)^0.5</f>
        <v>844.41385126015075</v>
      </c>
      <c r="P2">
        <f t="shared" ref="P2:P16" si="1">J2-F2</f>
        <v>4.2199999999999989</v>
      </c>
      <c r="Q2">
        <f t="shared" ref="Q2:Q16" si="2">K2-G2</f>
        <v>0.71999999999999886</v>
      </c>
      <c r="R2">
        <f t="shared" ref="R2:R16" si="3">L2-H2</f>
        <v>-18.870000000000005</v>
      </c>
      <c r="T2">
        <f xml:space="preserve"> (J2^2+K2^2)^0.5</f>
        <v>196.9270811747333</v>
      </c>
      <c r="V2">
        <f t="shared" ref="V2:V16" si="4">H2 + 0.2088*R2 -17.777</f>
        <v>818.28294399999993</v>
      </c>
      <c r="X2">
        <f>L2-V2</f>
        <v>2.847056000000066</v>
      </c>
      <c r="Z2">
        <f>((C2-640)^2+(D2-360)^2)^0.5</f>
        <v>148</v>
      </c>
    </row>
    <row r="3" spans="1:26" x14ac:dyDescent="0.3">
      <c r="A3">
        <v>2</v>
      </c>
      <c r="C3">
        <v>576</v>
      </c>
      <c r="D3">
        <v>313</v>
      </c>
      <c r="F3">
        <v>-81.53</v>
      </c>
      <c r="G3">
        <v>-76.34</v>
      </c>
      <c r="H3">
        <v>836</v>
      </c>
      <c r="J3">
        <v>-79.67</v>
      </c>
      <c r="K3">
        <v>-75.06</v>
      </c>
      <c r="L3">
        <v>819.46</v>
      </c>
      <c r="N3">
        <f t="shared" si="0"/>
        <v>826.7381714303508</v>
      </c>
      <c r="P3">
        <f t="shared" si="1"/>
        <v>1.8599999999999994</v>
      </c>
      <c r="Q3">
        <f t="shared" si="2"/>
        <v>1.2800000000000011</v>
      </c>
      <c r="R3">
        <f t="shared" si="3"/>
        <v>-16.539999999999964</v>
      </c>
      <c r="T3">
        <f t="shared" ref="T3:T16" si="5" xml:space="preserve"> (J3^2+K3^2)^0.5</f>
        <v>109.45918188987163</v>
      </c>
      <c r="V3">
        <f t="shared" si="4"/>
        <v>814.76944800000001</v>
      </c>
      <c r="X3">
        <f t="shared" ref="X3:X16" si="6">L3-V3</f>
        <v>4.6905520000000251</v>
      </c>
      <c r="Z3">
        <f t="shared" ref="Z3:Z16" si="7">((C3-640)^2+(D3-360)^2)^0.5</f>
        <v>79.404030124421269</v>
      </c>
    </row>
    <row r="4" spans="1:26" x14ac:dyDescent="0.3">
      <c r="A4">
        <v>3</v>
      </c>
      <c r="C4">
        <v>650</v>
      </c>
      <c r="D4">
        <v>313</v>
      </c>
      <c r="F4">
        <v>18.66</v>
      </c>
      <c r="G4">
        <v>-76.16</v>
      </c>
      <c r="H4">
        <v>834</v>
      </c>
      <c r="J4">
        <v>18.690000000000001</v>
      </c>
      <c r="K4">
        <v>-73.81</v>
      </c>
      <c r="L4">
        <v>818.6</v>
      </c>
      <c r="N4">
        <f t="shared" si="0"/>
        <v>822.13331777759743</v>
      </c>
      <c r="P4">
        <f t="shared" si="1"/>
        <v>3.0000000000001137E-2</v>
      </c>
      <c r="Q4">
        <f t="shared" si="2"/>
        <v>2.3499999999999943</v>
      </c>
      <c r="R4">
        <f t="shared" si="3"/>
        <v>-15.399999999999977</v>
      </c>
      <c r="T4">
        <f t="shared" si="5"/>
        <v>76.139557392987257</v>
      </c>
      <c r="V4">
        <f t="shared" si="4"/>
        <v>813.00747999999999</v>
      </c>
      <c r="X4">
        <f t="shared" si="6"/>
        <v>5.5925200000000359</v>
      </c>
      <c r="Z4">
        <f t="shared" si="7"/>
        <v>48.052055106935853</v>
      </c>
    </row>
    <row r="5" spans="1:26" x14ac:dyDescent="0.3">
      <c r="A5">
        <v>4</v>
      </c>
      <c r="C5">
        <v>727</v>
      </c>
      <c r="D5">
        <v>313</v>
      </c>
      <c r="F5">
        <v>122.85</v>
      </c>
      <c r="G5">
        <v>-76.25</v>
      </c>
      <c r="H5">
        <v>835</v>
      </c>
      <c r="J5">
        <v>120.04</v>
      </c>
      <c r="K5">
        <v>-72.260000000000005</v>
      </c>
      <c r="L5">
        <v>816.97</v>
      </c>
      <c r="N5">
        <f t="shared" si="0"/>
        <v>828.89751483521775</v>
      </c>
      <c r="P5">
        <f t="shared" si="1"/>
        <v>-2.8099999999999881</v>
      </c>
      <c r="Q5">
        <f t="shared" si="2"/>
        <v>3.9899999999999949</v>
      </c>
      <c r="R5">
        <f t="shared" si="3"/>
        <v>-18.029999999999973</v>
      </c>
      <c r="T5">
        <f t="shared" si="5"/>
        <v>140.11106023437264</v>
      </c>
      <c r="V5">
        <f t="shared" si="4"/>
        <v>813.45833599999992</v>
      </c>
      <c r="X5">
        <f t="shared" si="6"/>
        <v>3.5116640000001098</v>
      </c>
      <c r="Z5">
        <f t="shared" si="7"/>
        <v>98.883770154661889</v>
      </c>
    </row>
    <row r="6" spans="1:26" x14ac:dyDescent="0.3">
      <c r="A6">
        <v>5</v>
      </c>
      <c r="C6">
        <v>804</v>
      </c>
      <c r="D6">
        <v>313</v>
      </c>
      <c r="F6">
        <v>225.67</v>
      </c>
      <c r="G6">
        <v>-75.8</v>
      </c>
      <c r="H6">
        <v>830</v>
      </c>
      <c r="J6">
        <v>219.88</v>
      </c>
      <c r="K6">
        <v>-70.37</v>
      </c>
      <c r="L6">
        <v>815.36</v>
      </c>
      <c r="N6">
        <f t="shared" si="0"/>
        <v>847.41435018531524</v>
      </c>
      <c r="P6">
        <f t="shared" si="1"/>
        <v>-5.789999999999992</v>
      </c>
      <c r="Q6">
        <f t="shared" si="2"/>
        <v>5.4299999999999926</v>
      </c>
      <c r="R6">
        <f t="shared" si="3"/>
        <v>-14.639999999999986</v>
      </c>
      <c r="T6">
        <f t="shared" si="5"/>
        <v>230.86608954110173</v>
      </c>
      <c r="V6">
        <f t="shared" si="4"/>
        <v>809.16616799999997</v>
      </c>
      <c r="X6">
        <f t="shared" si="6"/>
        <v>6.1938320000000431</v>
      </c>
      <c r="Z6">
        <f t="shared" si="7"/>
        <v>170.60187572239644</v>
      </c>
    </row>
    <row r="7" spans="1:26" x14ac:dyDescent="0.3">
      <c r="A7">
        <v>6</v>
      </c>
      <c r="C7">
        <v>489</v>
      </c>
      <c r="D7">
        <v>374</v>
      </c>
      <c r="F7">
        <v>-185.3</v>
      </c>
      <c r="G7">
        <v>6.15</v>
      </c>
      <c r="H7">
        <v>777</v>
      </c>
      <c r="J7">
        <v>-183.07</v>
      </c>
      <c r="K7">
        <v>4.8099999999999996</v>
      </c>
      <c r="L7">
        <v>763.92</v>
      </c>
      <c r="N7">
        <f t="shared" si="0"/>
        <v>785.5644641911955</v>
      </c>
      <c r="P7">
        <f t="shared" si="1"/>
        <v>2.2300000000000182</v>
      </c>
      <c r="Q7">
        <f t="shared" si="2"/>
        <v>-1.3400000000000007</v>
      </c>
      <c r="R7">
        <f t="shared" si="3"/>
        <v>-13.080000000000041</v>
      </c>
      <c r="T7">
        <f t="shared" si="5"/>
        <v>183.13317831567278</v>
      </c>
      <c r="V7">
        <f t="shared" si="4"/>
        <v>756.491896</v>
      </c>
      <c r="X7">
        <f t="shared" si="6"/>
        <v>7.4281039999999621</v>
      </c>
      <c r="Z7">
        <f t="shared" si="7"/>
        <v>151.64761785138597</v>
      </c>
    </row>
    <row r="8" spans="1:26" x14ac:dyDescent="0.3">
      <c r="A8">
        <v>7</v>
      </c>
      <c r="C8">
        <v>572</v>
      </c>
      <c r="D8">
        <v>374</v>
      </c>
      <c r="F8">
        <v>-81.33</v>
      </c>
      <c r="G8">
        <v>6.19</v>
      </c>
      <c r="H8">
        <v>782</v>
      </c>
      <c r="J8">
        <v>-80.400000000000006</v>
      </c>
      <c r="K8">
        <v>5.67</v>
      </c>
      <c r="L8">
        <v>763.03</v>
      </c>
      <c r="N8">
        <f t="shared" si="0"/>
        <v>767.27510698575384</v>
      </c>
      <c r="P8">
        <f t="shared" si="1"/>
        <v>0.92999999999999261</v>
      </c>
      <c r="Q8">
        <f t="shared" si="2"/>
        <v>-0.52000000000000046</v>
      </c>
      <c r="R8">
        <f t="shared" si="3"/>
        <v>-18.970000000000027</v>
      </c>
      <c r="T8">
        <f t="shared" si="5"/>
        <v>80.599683001858025</v>
      </c>
      <c r="V8">
        <f t="shared" si="4"/>
        <v>760.2620639999999</v>
      </c>
      <c r="X8">
        <f t="shared" si="6"/>
        <v>2.767936000000077</v>
      </c>
      <c r="Z8">
        <f t="shared" si="7"/>
        <v>69.426219830839131</v>
      </c>
    </row>
    <row r="9" spans="1:26" x14ac:dyDescent="0.3">
      <c r="A9">
        <v>8</v>
      </c>
      <c r="C9">
        <v>651</v>
      </c>
      <c r="D9">
        <v>375</v>
      </c>
      <c r="F9">
        <v>18.739999999999998</v>
      </c>
      <c r="G9">
        <v>7.45</v>
      </c>
      <c r="H9">
        <v>781</v>
      </c>
      <c r="J9">
        <v>18.11</v>
      </c>
      <c r="K9">
        <v>7.85</v>
      </c>
      <c r="L9">
        <v>761.34</v>
      </c>
      <c r="N9">
        <f t="shared" si="0"/>
        <v>761.59581813452724</v>
      </c>
      <c r="P9">
        <f t="shared" si="1"/>
        <v>-0.62999999999999901</v>
      </c>
      <c r="Q9">
        <f t="shared" si="2"/>
        <v>0.39999999999999947</v>
      </c>
      <c r="R9">
        <f t="shared" si="3"/>
        <v>-19.659999999999968</v>
      </c>
      <c r="T9">
        <f t="shared" si="5"/>
        <v>19.738150875905269</v>
      </c>
      <c r="V9">
        <f t="shared" si="4"/>
        <v>759.11799199999996</v>
      </c>
      <c r="X9">
        <f t="shared" si="6"/>
        <v>2.2220080000000735</v>
      </c>
      <c r="Z9">
        <f t="shared" si="7"/>
        <v>18.601075237738275</v>
      </c>
    </row>
    <row r="10" spans="1:26" x14ac:dyDescent="0.3">
      <c r="A10">
        <v>9</v>
      </c>
      <c r="C10">
        <v>733</v>
      </c>
      <c r="D10">
        <v>375</v>
      </c>
      <c r="F10">
        <v>121.56</v>
      </c>
      <c r="G10">
        <v>7.39</v>
      </c>
      <c r="H10">
        <v>775</v>
      </c>
      <c r="J10">
        <v>118.55</v>
      </c>
      <c r="K10">
        <v>8.94</v>
      </c>
      <c r="L10">
        <v>760.02499999999998</v>
      </c>
      <c r="N10">
        <f t="shared" si="0"/>
        <v>769.2672011239008</v>
      </c>
      <c r="P10">
        <f t="shared" si="1"/>
        <v>-3.0100000000000051</v>
      </c>
      <c r="Q10">
        <f t="shared" si="2"/>
        <v>1.5499999999999998</v>
      </c>
      <c r="R10">
        <f t="shared" si="3"/>
        <v>-14.975000000000023</v>
      </c>
      <c r="T10">
        <f t="shared" si="5"/>
        <v>118.88661026372986</v>
      </c>
      <c r="V10">
        <f t="shared" si="4"/>
        <v>754.0962199999999</v>
      </c>
      <c r="X10">
        <f t="shared" si="6"/>
        <v>5.9287800000000743</v>
      </c>
      <c r="Z10">
        <f t="shared" si="7"/>
        <v>94.201910808645493</v>
      </c>
    </row>
    <row r="11" spans="1:26" x14ac:dyDescent="0.3">
      <c r="A11">
        <v>10</v>
      </c>
      <c r="C11">
        <v>816</v>
      </c>
      <c r="D11">
        <v>376</v>
      </c>
      <c r="F11">
        <v>224.62</v>
      </c>
      <c r="G11">
        <v>8.61</v>
      </c>
      <c r="H11">
        <v>771</v>
      </c>
      <c r="J11">
        <v>217.59</v>
      </c>
      <c r="K11">
        <v>10.029999999999999</v>
      </c>
      <c r="L11">
        <v>758.75</v>
      </c>
      <c r="N11">
        <f t="shared" si="0"/>
        <v>789.39696699442663</v>
      </c>
      <c r="P11">
        <f t="shared" si="1"/>
        <v>-7.0300000000000011</v>
      </c>
      <c r="Q11">
        <f t="shared" si="2"/>
        <v>1.42</v>
      </c>
      <c r="R11">
        <f t="shared" si="3"/>
        <v>-12.25</v>
      </c>
      <c r="T11">
        <f t="shared" si="5"/>
        <v>217.82104811059926</v>
      </c>
      <c r="V11">
        <f t="shared" si="4"/>
        <v>750.66519999999991</v>
      </c>
      <c r="X11">
        <f t="shared" si="6"/>
        <v>8.0848000000000866</v>
      </c>
      <c r="Z11">
        <f t="shared" si="7"/>
        <v>176.72577627499618</v>
      </c>
    </row>
    <row r="12" spans="1:26" x14ac:dyDescent="0.3">
      <c r="A12">
        <v>11</v>
      </c>
      <c r="C12">
        <v>476</v>
      </c>
      <c r="D12">
        <v>446</v>
      </c>
      <c r="F12">
        <v>-187.39</v>
      </c>
      <c r="G12">
        <v>90.29</v>
      </c>
      <c r="H12">
        <v>722</v>
      </c>
      <c r="J12">
        <v>-185.99</v>
      </c>
      <c r="K12">
        <v>89.31</v>
      </c>
      <c r="L12">
        <v>704.78</v>
      </c>
      <c r="N12">
        <f t="shared" si="0"/>
        <v>734.35917955725176</v>
      </c>
      <c r="P12">
        <f t="shared" si="1"/>
        <v>1.3999999999999773</v>
      </c>
      <c r="Q12">
        <f t="shared" si="2"/>
        <v>-0.98000000000000398</v>
      </c>
      <c r="R12">
        <f t="shared" si="3"/>
        <v>-17.220000000000027</v>
      </c>
      <c r="T12">
        <f t="shared" si="5"/>
        <v>206.32148748979105</v>
      </c>
      <c r="V12">
        <f t="shared" si="4"/>
        <v>700.62746399999992</v>
      </c>
      <c r="X12">
        <f t="shared" si="6"/>
        <v>4.1525360000000546</v>
      </c>
      <c r="Z12">
        <f t="shared" si="7"/>
        <v>185.18099254513137</v>
      </c>
    </row>
    <row r="13" spans="1:26" x14ac:dyDescent="0.3">
      <c r="A13">
        <v>12</v>
      </c>
      <c r="C13">
        <v>565</v>
      </c>
      <c r="D13">
        <v>447</v>
      </c>
      <c r="F13">
        <v>-83.5</v>
      </c>
      <c r="G13">
        <v>91.72</v>
      </c>
      <c r="H13">
        <v>724</v>
      </c>
      <c r="J13">
        <v>-80.81</v>
      </c>
      <c r="K13">
        <v>88.16</v>
      </c>
      <c r="L13">
        <v>705.23</v>
      </c>
      <c r="N13">
        <f t="shared" si="0"/>
        <v>715.29839549659278</v>
      </c>
      <c r="P13">
        <f t="shared" si="1"/>
        <v>2.6899999999999977</v>
      </c>
      <c r="Q13">
        <f t="shared" si="2"/>
        <v>-3.5600000000000023</v>
      </c>
      <c r="R13">
        <f t="shared" si="3"/>
        <v>-18.769999999999982</v>
      </c>
      <c r="T13">
        <f t="shared" si="5"/>
        <v>119.592816255827</v>
      </c>
      <c r="V13">
        <f t="shared" si="4"/>
        <v>702.30382399999996</v>
      </c>
      <c r="X13">
        <f t="shared" si="6"/>
        <v>2.926176000000055</v>
      </c>
      <c r="Z13">
        <f t="shared" si="7"/>
        <v>114.86513831445988</v>
      </c>
    </row>
    <row r="14" spans="1:26" x14ac:dyDescent="0.3">
      <c r="A14">
        <v>13</v>
      </c>
      <c r="C14">
        <v>651</v>
      </c>
      <c r="D14">
        <v>448</v>
      </c>
      <c r="F14">
        <v>17.22</v>
      </c>
      <c r="G14">
        <v>92.13</v>
      </c>
      <c r="H14">
        <v>718</v>
      </c>
      <c r="J14">
        <v>15.87</v>
      </c>
      <c r="K14">
        <v>89.41</v>
      </c>
      <c r="L14">
        <v>704.29</v>
      </c>
      <c r="N14">
        <f t="shared" si="0"/>
        <v>710.11999626823626</v>
      </c>
      <c r="P14">
        <f t="shared" si="1"/>
        <v>-1.3499999999999996</v>
      </c>
      <c r="Q14">
        <f t="shared" si="2"/>
        <v>-2.7199999999999989</v>
      </c>
      <c r="R14">
        <f t="shared" si="3"/>
        <v>-13.710000000000036</v>
      </c>
      <c r="T14">
        <f t="shared" si="5"/>
        <v>90.807516208736814</v>
      </c>
      <c r="V14">
        <f t="shared" si="4"/>
        <v>697.36035199999992</v>
      </c>
      <c r="X14">
        <f t="shared" si="6"/>
        <v>6.9296480000000429</v>
      </c>
      <c r="Z14">
        <f t="shared" si="7"/>
        <v>88.68483523128404</v>
      </c>
    </row>
    <row r="15" spans="1:26" x14ac:dyDescent="0.3">
      <c r="A15">
        <v>14</v>
      </c>
      <c r="C15">
        <v>738</v>
      </c>
      <c r="D15">
        <v>447</v>
      </c>
      <c r="F15">
        <v>118.27</v>
      </c>
      <c r="G15">
        <v>90.83</v>
      </c>
      <c r="H15">
        <v>717</v>
      </c>
      <c r="J15">
        <v>116.43</v>
      </c>
      <c r="K15">
        <v>91.004999999999995</v>
      </c>
      <c r="L15">
        <v>702.41</v>
      </c>
      <c r="N15">
        <f t="shared" si="0"/>
        <v>717.78664171534979</v>
      </c>
      <c r="P15">
        <f t="shared" si="1"/>
        <v>-1.8399999999999892</v>
      </c>
      <c r="Q15">
        <f t="shared" si="2"/>
        <v>0.17499999999999716</v>
      </c>
      <c r="R15">
        <f t="shared" si="3"/>
        <v>-14.590000000000032</v>
      </c>
      <c r="T15">
        <f t="shared" si="5"/>
        <v>147.77636795171276</v>
      </c>
      <c r="V15">
        <f t="shared" si="4"/>
        <v>696.17660799999999</v>
      </c>
      <c r="X15">
        <f t="shared" si="6"/>
        <v>6.2333919999999807</v>
      </c>
      <c r="Z15">
        <f t="shared" si="7"/>
        <v>131.04579352272242</v>
      </c>
    </row>
    <row r="16" spans="1:26" x14ac:dyDescent="0.3">
      <c r="A16">
        <v>15</v>
      </c>
      <c r="C16">
        <v>828</v>
      </c>
      <c r="D16">
        <v>449</v>
      </c>
      <c r="F16">
        <v>222.51</v>
      </c>
      <c r="G16">
        <v>93.04</v>
      </c>
      <c r="H16">
        <v>716</v>
      </c>
      <c r="J16">
        <v>214.83</v>
      </c>
      <c r="K16">
        <v>92.64</v>
      </c>
      <c r="L16">
        <v>701.10500000000002</v>
      </c>
      <c r="N16">
        <f t="shared" si="0"/>
        <v>739.10913911613898</v>
      </c>
      <c r="P16">
        <f t="shared" si="1"/>
        <v>-7.6799999999999784</v>
      </c>
      <c r="Q16">
        <f t="shared" si="2"/>
        <v>-0.40000000000000568</v>
      </c>
      <c r="R16">
        <f t="shared" si="3"/>
        <v>-14.894999999999982</v>
      </c>
      <c r="T16">
        <f t="shared" si="5"/>
        <v>233.95319724252542</v>
      </c>
      <c r="V16">
        <f t="shared" si="4"/>
        <v>695.11292399999991</v>
      </c>
      <c r="X16">
        <f t="shared" si="6"/>
        <v>5.992076000000111</v>
      </c>
      <c r="Z16">
        <f t="shared" si="7"/>
        <v>208.00240383226344</v>
      </c>
    </row>
    <row r="20" spans="1:17" x14ac:dyDescent="0.3">
      <c r="A20">
        <v>8</v>
      </c>
      <c r="C20">
        <v>18.739999999999998</v>
      </c>
      <c r="D20">
        <v>7.45</v>
      </c>
      <c r="E20">
        <v>781</v>
      </c>
      <c r="G20">
        <v>18.11</v>
      </c>
      <c r="H20">
        <v>7.85</v>
      </c>
      <c r="I20">
        <v>761.34</v>
      </c>
      <c r="K20">
        <f t="shared" ref="K20:K34" si="8" xml:space="preserve"> (G20^2+H20^2+I20^2)^0.5</f>
        <v>761.59581813452724</v>
      </c>
      <c r="M20">
        <f t="shared" ref="M20:M34" si="9">G20-C20</f>
        <v>-0.62999999999999901</v>
      </c>
      <c r="N20">
        <f t="shared" ref="N20:N34" si="10">H20-D20</f>
        <v>0.39999999999999947</v>
      </c>
      <c r="O20">
        <f t="shared" ref="O20:O34" si="11">I20-E20</f>
        <v>-19.659999999999968</v>
      </c>
      <c r="Q20">
        <f t="shared" ref="Q20:Q34" si="12" xml:space="preserve"> (G20^2+H20^2)^0.5</f>
        <v>19.738150875905269</v>
      </c>
    </row>
    <row r="21" spans="1:17" x14ac:dyDescent="0.3">
      <c r="A21">
        <v>3</v>
      </c>
      <c r="C21">
        <v>18.66</v>
      </c>
      <c r="D21">
        <v>-76.16</v>
      </c>
      <c r="E21">
        <v>834</v>
      </c>
      <c r="G21">
        <v>18.690000000000001</v>
      </c>
      <c r="H21">
        <v>-73.81</v>
      </c>
      <c r="I21">
        <v>818.6</v>
      </c>
      <c r="K21">
        <f t="shared" si="8"/>
        <v>822.13331777759743</v>
      </c>
      <c r="M21">
        <f t="shared" si="9"/>
        <v>3.0000000000001137E-2</v>
      </c>
      <c r="N21">
        <f t="shared" si="10"/>
        <v>2.3499999999999943</v>
      </c>
      <c r="O21">
        <f t="shared" si="11"/>
        <v>-15.399999999999977</v>
      </c>
      <c r="Q21">
        <f t="shared" si="12"/>
        <v>76.139557392987257</v>
      </c>
    </row>
    <row r="22" spans="1:17" x14ac:dyDescent="0.3">
      <c r="A22">
        <v>7</v>
      </c>
      <c r="C22">
        <v>-81.33</v>
      </c>
      <c r="D22">
        <v>6.19</v>
      </c>
      <c r="E22">
        <v>782</v>
      </c>
      <c r="G22">
        <v>-80.400000000000006</v>
      </c>
      <c r="H22">
        <v>5.67</v>
      </c>
      <c r="I22">
        <v>763.03</v>
      </c>
      <c r="K22">
        <f t="shared" si="8"/>
        <v>767.27510698575384</v>
      </c>
      <c r="M22">
        <f t="shared" si="9"/>
        <v>0.92999999999999261</v>
      </c>
      <c r="N22">
        <f t="shared" si="10"/>
        <v>-0.52000000000000046</v>
      </c>
      <c r="O22">
        <f t="shared" si="11"/>
        <v>-18.970000000000027</v>
      </c>
      <c r="Q22">
        <f t="shared" si="12"/>
        <v>80.599683001858025</v>
      </c>
    </row>
    <row r="23" spans="1:17" x14ac:dyDescent="0.3">
      <c r="A23">
        <v>13</v>
      </c>
      <c r="C23">
        <v>17.22</v>
      </c>
      <c r="D23">
        <v>92.13</v>
      </c>
      <c r="E23">
        <v>718</v>
      </c>
      <c r="G23">
        <v>15.87</v>
      </c>
      <c r="H23">
        <v>89.41</v>
      </c>
      <c r="I23">
        <v>704.29</v>
      </c>
      <c r="K23">
        <f t="shared" si="8"/>
        <v>710.11999626823626</v>
      </c>
      <c r="M23">
        <f t="shared" si="9"/>
        <v>-1.3499999999999996</v>
      </c>
      <c r="N23">
        <f t="shared" si="10"/>
        <v>-2.7199999999999989</v>
      </c>
      <c r="O23">
        <f t="shared" si="11"/>
        <v>-13.710000000000036</v>
      </c>
      <c r="Q23">
        <f t="shared" si="12"/>
        <v>90.807516208736814</v>
      </c>
    </row>
    <row r="24" spans="1:17" x14ac:dyDescent="0.3">
      <c r="A24">
        <v>2</v>
      </c>
      <c r="C24">
        <v>-81.53</v>
      </c>
      <c r="D24">
        <v>-76.34</v>
      </c>
      <c r="E24">
        <v>836</v>
      </c>
      <c r="G24">
        <v>-79.67</v>
      </c>
      <c r="H24">
        <v>-75.06</v>
      </c>
      <c r="I24">
        <v>819.46</v>
      </c>
      <c r="K24">
        <f t="shared" si="8"/>
        <v>826.7381714303508</v>
      </c>
      <c r="M24">
        <f t="shared" si="9"/>
        <v>1.8599999999999994</v>
      </c>
      <c r="N24">
        <f t="shared" si="10"/>
        <v>1.2800000000000011</v>
      </c>
      <c r="O24">
        <f t="shared" si="11"/>
        <v>-16.539999999999964</v>
      </c>
      <c r="Q24">
        <f t="shared" si="12"/>
        <v>109.45918188987163</v>
      </c>
    </row>
    <row r="25" spans="1:17" x14ac:dyDescent="0.3">
      <c r="A25">
        <v>9</v>
      </c>
      <c r="C25">
        <v>121.56</v>
      </c>
      <c r="D25">
        <v>7.39</v>
      </c>
      <c r="E25">
        <v>775</v>
      </c>
      <c r="G25">
        <v>118.55</v>
      </c>
      <c r="H25">
        <v>8.94</v>
      </c>
      <c r="I25">
        <v>760.02499999999998</v>
      </c>
      <c r="K25">
        <f t="shared" si="8"/>
        <v>769.2672011239008</v>
      </c>
      <c r="M25">
        <f t="shared" si="9"/>
        <v>-3.0100000000000051</v>
      </c>
      <c r="N25">
        <f t="shared" si="10"/>
        <v>1.5499999999999998</v>
      </c>
      <c r="O25">
        <f t="shared" si="11"/>
        <v>-14.975000000000023</v>
      </c>
      <c r="Q25">
        <f t="shared" si="12"/>
        <v>118.88661026372986</v>
      </c>
    </row>
    <row r="26" spans="1:17" x14ac:dyDescent="0.3">
      <c r="A26">
        <v>12</v>
      </c>
      <c r="C26">
        <v>-83.5</v>
      </c>
      <c r="D26">
        <v>91.72</v>
      </c>
      <c r="E26">
        <v>724</v>
      </c>
      <c r="G26">
        <v>-80.81</v>
      </c>
      <c r="H26">
        <v>88.16</v>
      </c>
      <c r="I26">
        <v>705.23</v>
      </c>
      <c r="K26">
        <f t="shared" si="8"/>
        <v>715.29839549659278</v>
      </c>
      <c r="M26">
        <f t="shared" si="9"/>
        <v>2.6899999999999977</v>
      </c>
      <c r="N26">
        <f t="shared" si="10"/>
        <v>-3.5600000000000023</v>
      </c>
      <c r="O26">
        <f t="shared" si="11"/>
        <v>-18.769999999999982</v>
      </c>
      <c r="Q26">
        <f t="shared" si="12"/>
        <v>119.592816255827</v>
      </c>
    </row>
    <row r="27" spans="1:17" x14ac:dyDescent="0.3">
      <c r="A27">
        <v>4</v>
      </c>
      <c r="C27">
        <v>122.85</v>
      </c>
      <c r="D27">
        <v>-76.25</v>
      </c>
      <c r="E27">
        <v>835</v>
      </c>
      <c r="G27">
        <v>120.04</v>
      </c>
      <c r="H27">
        <v>-72.260000000000005</v>
      </c>
      <c r="I27">
        <v>816.97</v>
      </c>
      <c r="K27">
        <f t="shared" si="8"/>
        <v>828.89751483521775</v>
      </c>
      <c r="M27">
        <f t="shared" si="9"/>
        <v>-2.8099999999999881</v>
      </c>
      <c r="N27">
        <f t="shared" si="10"/>
        <v>3.9899999999999949</v>
      </c>
      <c r="O27">
        <f t="shared" si="11"/>
        <v>-18.029999999999973</v>
      </c>
      <c r="Q27">
        <f t="shared" si="12"/>
        <v>140.11106023437264</v>
      </c>
    </row>
    <row r="28" spans="1:17" x14ac:dyDescent="0.3">
      <c r="A28">
        <v>14</v>
      </c>
      <c r="C28">
        <v>118.27</v>
      </c>
      <c r="D28">
        <v>90.83</v>
      </c>
      <c r="E28">
        <v>717</v>
      </c>
      <c r="G28">
        <v>116.43</v>
      </c>
      <c r="H28">
        <v>91.004999999999995</v>
      </c>
      <c r="I28">
        <v>702.41</v>
      </c>
      <c r="K28">
        <f t="shared" si="8"/>
        <v>717.78664171534979</v>
      </c>
      <c r="M28">
        <f t="shared" si="9"/>
        <v>-1.8399999999999892</v>
      </c>
      <c r="N28">
        <f t="shared" si="10"/>
        <v>0.17499999999999716</v>
      </c>
      <c r="O28">
        <f t="shared" si="11"/>
        <v>-14.590000000000032</v>
      </c>
      <c r="Q28">
        <f t="shared" si="12"/>
        <v>147.77636795171276</v>
      </c>
    </row>
    <row r="29" spans="1:17" x14ac:dyDescent="0.3">
      <c r="A29">
        <v>6</v>
      </c>
      <c r="C29">
        <v>-185.3</v>
      </c>
      <c r="D29">
        <v>6.15</v>
      </c>
      <c r="E29">
        <v>777</v>
      </c>
      <c r="G29">
        <v>-183.07</v>
      </c>
      <c r="H29">
        <v>4.8099999999999996</v>
      </c>
      <c r="I29">
        <v>763.92</v>
      </c>
      <c r="K29">
        <f t="shared" si="8"/>
        <v>785.5644641911955</v>
      </c>
      <c r="M29">
        <f t="shared" si="9"/>
        <v>2.2300000000000182</v>
      </c>
      <c r="N29">
        <f t="shared" si="10"/>
        <v>-1.3400000000000007</v>
      </c>
      <c r="O29">
        <f t="shared" si="11"/>
        <v>-13.080000000000041</v>
      </c>
      <c r="Q29">
        <f t="shared" si="12"/>
        <v>183.13317831567278</v>
      </c>
    </row>
    <row r="30" spans="1:17" x14ac:dyDescent="0.3">
      <c r="A30">
        <v>1</v>
      </c>
      <c r="C30">
        <v>-185.35</v>
      </c>
      <c r="D30">
        <v>-78</v>
      </c>
      <c r="E30">
        <v>840</v>
      </c>
      <c r="G30">
        <v>-181.13</v>
      </c>
      <c r="H30">
        <v>-77.28</v>
      </c>
      <c r="I30">
        <v>821.13</v>
      </c>
      <c r="K30">
        <f t="shared" si="8"/>
        <v>844.41385126015075</v>
      </c>
      <c r="M30">
        <f t="shared" si="9"/>
        <v>4.2199999999999989</v>
      </c>
      <c r="N30">
        <f t="shared" si="10"/>
        <v>0.71999999999999886</v>
      </c>
      <c r="O30">
        <f t="shared" si="11"/>
        <v>-18.870000000000005</v>
      </c>
      <c r="Q30">
        <f t="shared" si="12"/>
        <v>196.9270811747333</v>
      </c>
    </row>
    <row r="31" spans="1:17" x14ac:dyDescent="0.3">
      <c r="A31">
        <v>11</v>
      </c>
      <c r="C31">
        <v>-187.39</v>
      </c>
      <c r="D31">
        <v>90.29</v>
      </c>
      <c r="E31">
        <v>722</v>
      </c>
      <c r="G31">
        <v>-185.99</v>
      </c>
      <c r="H31">
        <v>89.31</v>
      </c>
      <c r="I31">
        <v>704.78</v>
      </c>
      <c r="K31">
        <f t="shared" si="8"/>
        <v>734.35917955725176</v>
      </c>
      <c r="M31">
        <f t="shared" si="9"/>
        <v>1.3999999999999773</v>
      </c>
      <c r="N31">
        <f t="shared" si="10"/>
        <v>-0.98000000000000398</v>
      </c>
      <c r="O31">
        <f t="shared" si="11"/>
        <v>-17.220000000000027</v>
      </c>
      <c r="Q31">
        <f t="shared" si="12"/>
        <v>206.32148748979105</v>
      </c>
    </row>
    <row r="32" spans="1:17" x14ac:dyDescent="0.3">
      <c r="A32">
        <v>10</v>
      </c>
      <c r="C32">
        <v>224.62</v>
      </c>
      <c r="D32">
        <v>8.61</v>
      </c>
      <c r="E32">
        <v>771</v>
      </c>
      <c r="G32">
        <v>217.59</v>
      </c>
      <c r="H32">
        <v>10.029999999999999</v>
      </c>
      <c r="I32">
        <v>758.75</v>
      </c>
      <c r="K32">
        <f t="shared" si="8"/>
        <v>789.39696699442663</v>
      </c>
      <c r="M32">
        <f t="shared" si="9"/>
        <v>-7.0300000000000011</v>
      </c>
      <c r="N32">
        <f t="shared" si="10"/>
        <v>1.42</v>
      </c>
      <c r="O32">
        <f t="shared" si="11"/>
        <v>-12.25</v>
      </c>
      <c r="Q32">
        <f t="shared" si="12"/>
        <v>217.82104811059926</v>
      </c>
    </row>
    <row r="33" spans="1:21" x14ac:dyDescent="0.3">
      <c r="A33">
        <v>5</v>
      </c>
      <c r="C33">
        <v>225.67</v>
      </c>
      <c r="D33">
        <v>-75.8</v>
      </c>
      <c r="E33">
        <v>830</v>
      </c>
      <c r="G33">
        <v>219.88</v>
      </c>
      <c r="H33">
        <v>-70.37</v>
      </c>
      <c r="I33">
        <v>815.36</v>
      </c>
      <c r="K33">
        <f t="shared" si="8"/>
        <v>847.41435018531524</v>
      </c>
      <c r="M33">
        <f t="shared" si="9"/>
        <v>-5.789999999999992</v>
      </c>
      <c r="N33">
        <f t="shared" si="10"/>
        <v>5.4299999999999926</v>
      </c>
      <c r="O33">
        <f t="shared" si="11"/>
        <v>-14.639999999999986</v>
      </c>
      <c r="Q33">
        <f t="shared" si="12"/>
        <v>230.86608954110173</v>
      </c>
    </row>
    <row r="34" spans="1:21" x14ac:dyDescent="0.3">
      <c r="A34">
        <v>15</v>
      </c>
      <c r="C34">
        <v>222.51</v>
      </c>
      <c r="D34">
        <v>93.04</v>
      </c>
      <c r="E34">
        <v>716</v>
      </c>
      <c r="G34">
        <v>214.83</v>
      </c>
      <c r="H34">
        <v>92.64</v>
      </c>
      <c r="I34">
        <v>701.10500000000002</v>
      </c>
      <c r="K34">
        <f t="shared" si="8"/>
        <v>739.10913911613898</v>
      </c>
      <c r="M34">
        <f t="shared" si="9"/>
        <v>-7.6799999999999784</v>
      </c>
      <c r="N34">
        <f t="shared" si="10"/>
        <v>-0.40000000000000568</v>
      </c>
      <c r="O34">
        <f t="shared" si="11"/>
        <v>-14.894999999999982</v>
      </c>
      <c r="Q34">
        <f t="shared" si="12"/>
        <v>233.95319724252542</v>
      </c>
    </row>
    <row r="35" spans="1:21" x14ac:dyDescent="0.3">
      <c r="B35" t="s">
        <v>15</v>
      </c>
      <c r="C35" t="s">
        <v>1</v>
      </c>
      <c r="D35" t="s">
        <v>2</v>
      </c>
      <c r="E35" t="s">
        <v>4</v>
      </c>
      <c r="F35" t="s">
        <v>11</v>
      </c>
      <c r="G35" t="s">
        <v>1</v>
      </c>
      <c r="H35" t="s">
        <v>2</v>
      </c>
      <c r="I35" t="s">
        <v>4</v>
      </c>
      <c r="J35" t="s">
        <v>14</v>
      </c>
      <c r="L35" t="s">
        <v>9</v>
      </c>
      <c r="M35" t="s">
        <v>1</v>
      </c>
      <c r="N35" t="s">
        <v>2</v>
      </c>
      <c r="O35" t="s">
        <v>4</v>
      </c>
      <c r="P35" t="s">
        <v>16</v>
      </c>
    </row>
    <row r="37" spans="1:21" x14ac:dyDescent="0.3">
      <c r="A37">
        <v>3</v>
      </c>
      <c r="C37">
        <v>650</v>
      </c>
      <c r="D37">
        <v>313</v>
      </c>
      <c r="F37">
        <v>18.66</v>
      </c>
      <c r="G37">
        <v>-76.16</v>
      </c>
      <c r="H37">
        <v>834</v>
      </c>
      <c r="J37">
        <v>18.690000000000001</v>
      </c>
      <c r="K37">
        <v>-73.81</v>
      </c>
      <c r="L37">
        <v>818.6</v>
      </c>
      <c r="N37">
        <f t="shared" ref="N37:N51" si="13">J37-F37</f>
        <v>3.0000000000001137E-2</v>
      </c>
      <c r="O37">
        <f t="shared" ref="O37:O51" si="14">K37-G37</f>
        <v>2.3499999999999943</v>
      </c>
      <c r="P37">
        <f t="shared" ref="P37:P51" si="15">L37-H37</f>
        <v>-15.399999999999977</v>
      </c>
      <c r="R37">
        <f t="shared" ref="R37:R51" si="16">((C37-640)^2+(D37-360)^2)^0.5</f>
        <v>48.052055106935853</v>
      </c>
      <c r="S37">
        <v>3</v>
      </c>
      <c r="T37">
        <f t="shared" ref="T37:T51" si="17">((C37-640)^2)^0.5</f>
        <v>10</v>
      </c>
      <c r="U37">
        <f t="shared" ref="U37:U51" si="18">((D37-360)^2)^0.5</f>
        <v>47</v>
      </c>
    </row>
    <row r="38" spans="1:21" x14ac:dyDescent="0.3">
      <c r="A38">
        <v>8</v>
      </c>
      <c r="C38">
        <v>651</v>
      </c>
      <c r="D38">
        <v>375</v>
      </c>
      <c r="F38">
        <v>18.739999999999998</v>
      </c>
      <c r="G38">
        <v>7.45</v>
      </c>
      <c r="H38">
        <v>781</v>
      </c>
      <c r="J38">
        <v>18.11</v>
      </c>
      <c r="K38">
        <v>7.85</v>
      </c>
      <c r="L38">
        <v>761.34</v>
      </c>
      <c r="N38">
        <f t="shared" si="13"/>
        <v>-0.62999999999999901</v>
      </c>
      <c r="O38">
        <f t="shared" si="14"/>
        <v>0.39999999999999947</v>
      </c>
      <c r="P38">
        <f t="shared" si="15"/>
        <v>-19.659999999999968</v>
      </c>
      <c r="R38">
        <f t="shared" si="16"/>
        <v>18.601075237738275</v>
      </c>
      <c r="S38">
        <v>8</v>
      </c>
      <c r="T38">
        <f t="shared" si="17"/>
        <v>11</v>
      </c>
      <c r="U38">
        <f t="shared" si="18"/>
        <v>15</v>
      </c>
    </row>
    <row r="39" spans="1:21" x14ac:dyDescent="0.3">
      <c r="A39">
        <v>13</v>
      </c>
      <c r="C39">
        <v>651</v>
      </c>
      <c r="D39">
        <v>448</v>
      </c>
      <c r="F39">
        <v>17.22</v>
      </c>
      <c r="G39">
        <v>92.13</v>
      </c>
      <c r="H39">
        <v>718</v>
      </c>
      <c r="J39">
        <v>15.87</v>
      </c>
      <c r="K39">
        <v>89.41</v>
      </c>
      <c r="L39">
        <v>704.29</v>
      </c>
      <c r="N39">
        <f t="shared" si="13"/>
        <v>-1.3499999999999996</v>
      </c>
      <c r="O39">
        <f t="shared" si="14"/>
        <v>-2.7199999999999989</v>
      </c>
      <c r="P39">
        <f t="shared" si="15"/>
        <v>-13.710000000000036</v>
      </c>
      <c r="R39">
        <f t="shared" si="16"/>
        <v>88.68483523128404</v>
      </c>
      <c r="S39">
        <v>13</v>
      </c>
      <c r="T39">
        <f t="shared" si="17"/>
        <v>11</v>
      </c>
      <c r="U39">
        <f t="shared" si="18"/>
        <v>88</v>
      </c>
    </row>
    <row r="40" spans="1:21" x14ac:dyDescent="0.3">
      <c r="A40">
        <v>2</v>
      </c>
      <c r="C40">
        <v>576</v>
      </c>
      <c r="D40">
        <v>313</v>
      </c>
      <c r="F40">
        <v>-81.53</v>
      </c>
      <c r="G40">
        <v>-76.34</v>
      </c>
      <c r="H40">
        <v>836</v>
      </c>
      <c r="J40">
        <v>-79.67</v>
      </c>
      <c r="K40">
        <v>-75.06</v>
      </c>
      <c r="L40">
        <v>819.46</v>
      </c>
      <c r="N40">
        <f t="shared" si="13"/>
        <v>1.8599999999999994</v>
      </c>
      <c r="O40">
        <f t="shared" si="14"/>
        <v>1.2800000000000011</v>
      </c>
      <c r="P40">
        <f t="shared" si="15"/>
        <v>-16.539999999999964</v>
      </c>
      <c r="R40">
        <f t="shared" si="16"/>
        <v>79.404030124421269</v>
      </c>
      <c r="S40">
        <v>2</v>
      </c>
      <c r="T40">
        <f t="shared" si="17"/>
        <v>64</v>
      </c>
      <c r="U40">
        <f t="shared" si="18"/>
        <v>47</v>
      </c>
    </row>
    <row r="41" spans="1:21" x14ac:dyDescent="0.3">
      <c r="A41">
        <v>7</v>
      </c>
      <c r="C41">
        <v>572</v>
      </c>
      <c r="D41">
        <v>374</v>
      </c>
      <c r="F41">
        <v>-81.33</v>
      </c>
      <c r="G41">
        <v>6.19</v>
      </c>
      <c r="H41">
        <v>782</v>
      </c>
      <c r="J41">
        <v>-80.400000000000006</v>
      </c>
      <c r="K41">
        <v>5.67</v>
      </c>
      <c r="L41">
        <v>763.03</v>
      </c>
      <c r="N41">
        <f t="shared" si="13"/>
        <v>0.92999999999999261</v>
      </c>
      <c r="O41">
        <f t="shared" si="14"/>
        <v>-0.52000000000000046</v>
      </c>
      <c r="P41">
        <f t="shared" si="15"/>
        <v>-18.970000000000027</v>
      </c>
      <c r="R41">
        <f t="shared" si="16"/>
        <v>69.426219830839131</v>
      </c>
      <c r="S41">
        <v>7</v>
      </c>
      <c r="T41">
        <f t="shared" si="17"/>
        <v>68</v>
      </c>
      <c r="U41">
        <f t="shared" si="18"/>
        <v>14</v>
      </c>
    </row>
    <row r="42" spans="1:21" x14ac:dyDescent="0.3">
      <c r="A42">
        <v>12</v>
      </c>
      <c r="C42">
        <v>565</v>
      </c>
      <c r="D42">
        <v>447</v>
      </c>
      <c r="F42">
        <v>-83.5</v>
      </c>
      <c r="G42">
        <v>91.72</v>
      </c>
      <c r="H42">
        <v>724</v>
      </c>
      <c r="J42">
        <v>-80.81</v>
      </c>
      <c r="K42">
        <v>88.16</v>
      </c>
      <c r="L42">
        <v>705.23</v>
      </c>
      <c r="N42">
        <f t="shared" si="13"/>
        <v>2.6899999999999977</v>
      </c>
      <c r="O42">
        <f t="shared" si="14"/>
        <v>-3.5600000000000023</v>
      </c>
      <c r="P42">
        <f t="shared" si="15"/>
        <v>-18.769999999999982</v>
      </c>
      <c r="R42">
        <f t="shared" si="16"/>
        <v>114.86513831445988</v>
      </c>
      <c r="S42">
        <v>12</v>
      </c>
      <c r="T42">
        <f t="shared" si="17"/>
        <v>75</v>
      </c>
      <c r="U42">
        <f t="shared" si="18"/>
        <v>87</v>
      </c>
    </row>
    <row r="43" spans="1:21" x14ac:dyDescent="0.3">
      <c r="A43">
        <v>4</v>
      </c>
      <c r="C43">
        <v>727</v>
      </c>
      <c r="D43">
        <v>313</v>
      </c>
      <c r="F43">
        <v>122.85</v>
      </c>
      <c r="G43">
        <v>-76.25</v>
      </c>
      <c r="H43">
        <v>835</v>
      </c>
      <c r="J43">
        <v>120.04</v>
      </c>
      <c r="K43">
        <v>-72.260000000000005</v>
      </c>
      <c r="L43">
        <v>816.97</v>
      </c>
      <c r="N43">
        <f t="shared" si="13"/>
        <v>-2.8099999999999881</v>
      </c>
      <c r="O43">
        <f t="shared" si="14"/>
        <v>3.9899999999999949</v>
      </c>
      <c r="P43">
        <f t="shared" si="15"/>
        <v>-18.029999999999973</v>
      </c>
      <c r="R43">
        <f t="shared" si="16"/>
        <v>98.883770154661889</v>
      </c>
      <c r="S43">
        <v>4</v>
      </c>
      <c r="T43">
        <f t="shared" si="17"/>
        <v>87</v>
      </c>
      <c r="U43">
        <f t="shared" si="18"/>
        <v>47</v>
      </c>
    </row>
    <row r="44" spans="1:21" x14ac:dyDescent="0.3">
      <c r="A44">
        <v>9</v>
      </c>
      <c r="C44">
        <v>733</v>
      </c>
      <c r="D44">
        <v>375</v>
      </c>
      <c r="F44">
        <v>121.56</v>
      </c>
      <c r="G44">
        <v>7.39</v>
      </c>
      <c r="H44">
        <v>775</v>
      </c>
      <c r="J44">
        <v>118.55</v>
      </c>
      <c r="K44">
        <v>8.94</v>
      </c>
      <c r="L44">
        <v>760.02499999999998</v>
      </c>
      <c r="N44">
        <f t="shared" si="13"/>
        <v>-3.0100000000000051</v>
      </c>
      <c r="O44">
        <f t="shared" si="14"/>
        <v>1.5499999999999998</v>
      </c>
      <c r="P44">
        <f t="shared" si="15"/>
        <v>-14.975000000000023</v>
      </c>
      <c r="R44">
        <f t="shared" si="16"/>
        <v>94.201910808645493</v>
      </c>
      <c r="S44">
        <v>9</v>
      </c>
      <c r="T44">
        <f t="shared" si="17"/>
        <v>93</v>
      </c>
      <c r="U44">
        <f t="shared" si="18"/>
        <v>15</v>
      </c>
    </row>
    <row r="45" spans="1:21" x14ac:dyDescent="0.3">
      <c r="A45">
        <v>14</v>
      </c>
      <c r="C45">
        <v>738</v>
      </c>
      <c r="D45">
        <v>447</v>
      </c>
      <c r="F45">
        <v>118.27</v>
      </c>
      <c r="G45">
        <v>90.83</v>
      </c>
      <c r="H45">
        <v>717</v>
      </c>
      <c r="J45">
        <v>116.43</v>
      </c>
      <c r="K45">
        <v>91.004999999999995</v>
      </c>
      <c r="L45">
        <v>702.41</v>
      </c>
      <c r="N45">
        <f t="shared" si="13"/>
        <v>-1.8399999999999892</v>
      </c>
      <c r="O45">
        <f t="shared" si="14"/>
        <v>0.17499999999999716</v>
      </c>
      <c r="P45">
        <f t="shared" si="15"/>
        <v>-14.590000000000032</v>
      </c>
      <c r="R45">
        <f t="shared" si="16"/>
        <v>131.04579352272242</v>
      </c>
      <c r="S45">
        <v>14</v>
      </c>
      <c r="T45">
        <f t="shared" si="17"/>
        <v>98</v>
      </c>
      <c r="U45">
        <f t="shared" si="18"/>
        <v>87</v>
      </c>
    </row>
    <row r="46" spans="1:21" x14ac:dyDescent="0.3">
      <c r="A46">
        <v>1</v>
      </c>
      <c r="C46">
        <v>500</v>
      </c>
      <c r="D46">
        <v>312</v>
      </c>
      <c r="F46">
        <v>-185.35</v>
      </c>
      <c r="G46">
        <v>-78</v>
      </c>
      <c r="H46">
        <v>840</v>
      </c>
      <c r="J46">
        <v>-181.13</v>
      </c>
      <c r="K46">
        <v>-77.28</v>
      </c>
      <c r="L46">
        <v>821.13</v>
      </c>
      <c r="N46">
        <f t="shared" si="13"/>
        <v>4.2199999999999989</v>
      </c>
      <c r="O46">
        <f t="shared" si="14"/>
        <v>0.71999999999999886</v>
      </c>
      <c r="P46">
        <f t="shared" si="15"/>
        <v>-18.870000000000005</v>
      </c>
      <c r="R46">
        <f t="shared" si="16"/>
        <v>148</v>
      </c>
      <c r="S46">
        <v>1</v>
      </c>
      <c r="T46">
        <f t="shared" si="17"/>
        <v>140</v>
      </c>
      <c r="U46">
        <f t="shared" si="18"/>
        <v>48</v>
      </c>
    </row>
    <row r="47" spans="1:21" x14ac:dyDescent="0.3">
      <c r="A47">
        <v>6</v>
      </c>
      <c r="C47">
        <v>489</v>
      </c>
      <c r="D47">
        <v>374</v>
      </c>
      <c r="F47">
        <v>-185.3</v>
      </c>
      <c r="G47">
        <v>6.15</v>
      </c>
      <c r="H47">
        <v>777</v>
      </c>
      <c r="J47">
        <v>-183.07</v>
      </c>
      <c r="K47">
        <v>4.8099999999999996</v>
      </c>
      <c r="L47">
        <v>763.92</v>
      </c>
      <c r="N47">
        <f t="shared" si="13"/>
        <v>2.2300000000000182</v>
      </c>
      <c r="O47">
        <f t="shared" si="14"/>
        <v>-1.3400000000000007</v>
      </c>
      <c r="P47">
        <f t="shared" si="15"/>
        <v>-13.080000000000041</v>
      </c>
      <c r="R47">
        <f t="shared" si="16"/>
        <v>151.64761785138597</v>
      </c>
      <c r="S47">
        <v>6</v>
      </c>
      <c r="T47">
        <f t="shared" si="17"/>
        <v>151</v>
      </c>
      <c r="U47">
        <f t="shared" si="18"/>
        <v>14</v>
      </c>
    </row>
    <row r="48" spans="1:21" x14ac:dyDescent="0.3">
      <c r="A48">
        <v>5</v>
      </c>
      <c r="C48">
        <v>804</v>
      </c>
      <c r="D48">
        <v>313</v>
      </c>
      <c r="F48">
        <v>225.67</v>
      </c>
      <c r="G48">
        <v>-75.8</v>
      </c>
      <c r="H48">
        <v>830</v>
      </c>
      <c r="J48">
        <v>219.88</v>
      </c>
      <c r="K48">
        <v>-70.37</v>
      </c>
      <c r="L48">
        <v>815.36</v>
      </c>
      <c r="N48">
        <f t="shared" si="13"/>
        <v>-5.789999999999992</v>
      </c>
      <c r="O48">
        <f t="shared" si="14"/>
        <v>5.4299999999999926</v>
      </c>
      <c r="P48">
        <f t="shared" si="15"/>
        <v>-14.639999999999986</v>
      </c>
      <c r="R48">
        <f t="shared" si="16"/>
        <v>170.60187572239644</v>
      </c>
      <c r="S48">
        <v>5</v>
      </c>
      <c r="T48">
        <f t="shared" si="17"/>
        <v>164</v>
      </c>
      <c r="U48">
        <f t="shared" si="18"/>
        <v>47</v>
      </c>
    </row>
    <row r="49" spans="1:21" x14ac:dyDescent="0.3">
      <c r="A49">
        <v>11</v>
      </c>
      <c r="C49">
        <v>476</v>
      </c>
      <c r="D49">
        <v>446</v>
      </c>
      <c r="F49">
        <v>-187.39</v>
      </c>
      <c r="G49">
        <v>90.29</v>
      </c>
      <c r="H49">
        <v>722</v>
      </c>
      <c r="J49">
        <v>-185.99</v>
      </c>
      <c r="K49">
        <v>89.31</v>
      </c>
      <c r="L49">
        <v>704.78</v>
      </c>
      <c r="N49">
        <f t="shared" si="13"/>
        <v>1.3999999999999773</v>
      </c>
      <c r="O49">
        <f t="shared" si="14"/>
        <v>-0.98000000000000398</v>
      </c>
      <c r="P49">
        <f t="shared" si="15"/>
        <v>-17.220000000000027</v>
      </c>
      <c r="R49">
        <f t="shared" si="16"/>
        <v>185.18099254513137</v>
      </c>
      <c r="S49">
        <v>11</v>
      </c>
      <c r="T49">
        <f t="shared" si="17"/>
        <v>164</v>
      </c>
      <c r="U49">
        <f t="shared" si="18"/>
        <v>86</v>
      </c>
    </row>
    <row r="50" spans="1:21" x14ac:dyDescent="0.3">
      <c r="A50">
        <v>10</v>
      </c>
      <c r="C50">
        <v>816</v>
      </c>
      <c r="D50">
        <v>376</v>
      </c>
      <c r="F50">
        <v>224.62</v>
      </c>
      <c r="G50">
        <v>8.61</v>
      </c>
      <c r="H50">
        <v>771</v>
      </c>
      <c r="J50">
        <v>217.59</v>
      </c>
      <c r="K50">
        <v>10.029999999999999</v>
      </c>
      <c r="L50">
        <v>758.75</v>
      </c>
      <c r="N50">
        <f t="shared" si="13"/>
        <v>-7.0300000000000011</v>
      </c>
      <c r="O50">
        <f t="shared" si="14"/>
        <v>1.42</v>
      </c>
      <c r="P50">
        <f t="shared" si="15"/>
        <v>-12.25</v>
      </c>
      <c r="R50">
        <f t="shared" si="16"/>
        <v>176.72577627499618</v>
      </c>
      <c r="S50">
        <v>10</v>
      </c>
      <c r="T50">
        <f t="shared" si="17"/>
        <v>176</v>
      </c>
      <c r="U50">
        <f t="shared" si="18"/>
        <v>16</v>
      </c>
    </row>
    <row r="51" spans="1:21" x14ac:dyDescent="0.3">
      <c r="A51">
        <v>15</v>
      </c>
      <c r="C51">
        <v>828</v>
      </c>
      <c r="D51">
        <v>449</v>
      </c>
      <c r="F51">
        <v>222.51</v>
      </c>
      <c r="G51">
        <v>93.04</v>
      </c>
      <c r="H51">
        <v>716</v>
      </c>
      <c r="J51">
        <v>214.83</v>
      </c>
      <c r="K51">
        <v>92.64</v>
      </c>
      <c r="L51">
        <v>701.10500000000002</v>
      </c>
      <c r="N51">
        <f t="shared" si="13"/>
        <v>-7.6799999999999784</v>
      </c>
      <c r="O51">
        <f t="shared" si="14"/>
        <v>-0.40000000000000568</v>
      </c>
      <c r="P51">
        <f t="shared" si="15"/>
        <v>-14.894999999999982</v>
      </c>
      <c r="R51">
        <f t="shared" si="16"/>
        <v>208.00240383226344</v>
      </c>
      <c r="S51">
        <v>15</v>
      </c>
      <c r="T51">
        <f t="shared" si="17"/>
        <v>188</v>
      </c>
      <c r="U51">
        <f t="shared" si="18"/>
        <v>89</v>
      </c>
    </row>
    <row r="52" spans="1:21" x14ac:dyDescent="0.3">
      <c r="B52" t="s">
        <v>0</v>
      </c>
      <c r="C52" t="s">
        <v>1</v>
      </c>
      <c r="D52" t="s">
        <v>2</v>
      </c>
      <c r="E52" t="s">
        <v>15</v>
      </c>
      <c r="F52" t="s">
        <v>1</v>
      </c>
      <c r="G52" t="s">
        <v>2</v>
      </c>
      <c r="H52" t="s">
        <v>4</v>
      </c>
      <c r="I52" t="s">
        <v>11</v>
      </c>
      <c r="J52" t="s">
        <v>1</v>
      </c>
      <c r="K52" t="s">
        <v>2</v>
      </c>
      <c r="L52" t="s">
        <v>4</v>
      </c>
      <c r="M52" t="s">
        <v>9</v>
      </c>
      <c r="N52" t="s">
        <v>1</v>
      </c>
      <c r="O52" t="s">
        <v>2</v>
      </c>
      <c r="P52" t="s">
        <v>4</v>
      </c>
      <c r="Q52" t="s">
        <v>19</v>
      </c>
      <c r="T52" t="s">
        <v>20</v>
      </c>
      <c r="U52" t="s">
        <v>21</v>
      </c>
    </row>
  </sheetData>
  <sortState ref="A37:U52">
    <sortCondition ref="T37"/>
  </sortState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Blue</vt:lpstr>
      <vt:lpstr>Tabelle1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Hussein Sheaib</dc:creator>
  <cp:lastModifiedBy>Hussein Sheaib</cp:lastModifiedBy>
  <dcterms:created xsi:type="dcterms:W3CDTF">2021-04-12T13:47:11Z</dcterms:created>
  <dcterms:modified xsi:type="dcterms:W3CDTF">2021-04-13T15:15:49Z</dcterms:modified>
</cp:coreProperties>
</file>