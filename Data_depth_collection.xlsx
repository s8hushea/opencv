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sh3e\PycharmProjects\zema\opencv\"/>
    </mc:Choice>
  </mc:AlternateContent>
  <bookViews>
    <workbookView xWindow="0" yWindow="0" windowWidth="17250" windowHeight="5925" activeTab="7"/>
  </bookViews>
  <sheets>
    <sheet name="Blue" sheetId="2" r:id="rId1"/>
    <sheet name="Red" sheetId="3" r:id="rId2"/>
    <sheet name="Yellow" sheetId="4" r:id="rId3"/>
    <sheet name="Green" sheetId="5" r:id="rId4"/>
    <sheet name="Orange" sheetId="7" r:id="rId5"/>
    <sheet name="White" sheetId="6" r:id="rId6"/>
    <sheet name="LGreen" sheetId="8" r:id="rId7"/>
    <sheet name="LBlue" sheetId="9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6" i="9" l="1"/>
  <c r="AG16" i="9"/>
  <c r="AF16" i="9"/>
  <c r="AD16" i="9"/>
  <c r="AC16" i="9"/>
  <c r="AB16" i="9"/>
  <c r="Z16" i="9"/>
  <c r="Y16" i="9"/>
  <c r="X16" i="9"/>
  <c r="R16" i="9"/>
  <c r="AH15" i="9"/>
  <c r="AG15" i="9"/>
  <c r="AF15" i="9"/>
  <c r="AD15" i="9"/>
  <c r="AC15" i="9"/>
  <c r="AB15" i="9"/>
  <c r="Z15" i="9"/>
  <c r="Y15" i="9"/>
  <c r="X15" i="9"/>
  <c r="R15" i="9"/>
  <c r="AH14" i="9"/>
  <c r="AG14" i="9"/>
  <c r="AF14" i="9"/>
  <c r="AD14" i="9"/>
  <c r="AC14" i="9"/>
  <c r="AB14" i="9"/>
  <c r="Z14" i="9"/>
  <c r="Y14" i="9"/>
  <c r="X14" i="9"/>
  <c r="R14" i="9"/>
  <c r="AH13" i="9"/>
  <c r="AG13" i="9"/>
  <c r="AF13" i="9"/>
  <c r="AD13" i="9"/>
  <c r="AC13" i="9"/>
  <c r="AB13" i="9"/>
  <c r="Z13" i="9"/>
  <c r="Y13" i="9"/>
  <c r="X13" i="9"/>
  <c r="R13" i="9"/>
  <c r="AH12" i="9"/>
  <c r="AG12" i="9"/>
  <c r="AF12" i="9"/>
  <c r="AD12" i="9"/>
  <c r="AC12" i="9"/>
  <c r="AB12" i="9"/>
  <c r="Z12" i="9"/>
  <c r="Y12" i="9"/>
  <c r="X12" i="9"/>
  <c r="R12" i="9"/>
  <c r="AH11" i="9"/>
  <c r="AG11" i="9"/>
  <c r="AF11" i="9"/>
  <c r="AD11" i="9"/>
  <c r="AC11" i="9"/>
  <c r="AB11" i="9"/>
  <c r="Z11" i="9"/>
  <c r="Y11" i="9"/>
  <c r="X11" i="9"/>
  <c r="R11" i="9"/>
  <c r="AH10" i="9"/>
  <c r="AG10" i="9"/>
  <c r="AF10" i="9"/>
  <c r="AD10" i="9"/>
  <c r="AC10" i="9"/>
  <c r="AB10" i="9"/>
  <c r="Z10" i="9"/>
  <c r="Y10" i="9"/>
  <c r="X10" i="9"/>
  <c r="R10" i="9"/>
  <c r="AH9" i="9"/>
  <c r="AG9" i="9"/>
  <c r="AF9" i="9"/>
  <c r="AD9" i="9"/>
  <c r="AC9" i="9"/>
  <c r="AB9" i="9"/>
  <c r="Z9" i="9"/>
  <c r="Y9" i="9"/>
  <c r="X9" i="9"/>
  <c r="R9" i="9"/>
  <c r="AH8" i="9"/>
  <c r="AG8" i="9"/>
  <c r="AF8" i="9"/>
  <c r="AD8" i="9"/>
  <c r="AC8" i="9"/>
  <c r="AB8" i="9"/>
  <c r="Z8" i="9"/>
  <c r="Y8" i="9"/>
  <c r="X8" i="9"/>
  <c r="R8" i="9"/>
  <c r="AH7" i="9"/>
  <c r="AG7" i="9"/>
  <c r="AF7" i="9"/>
  <c r="AD7" i="9"/>
  <c r="AC7" i="9"/>
  <c r="AB7" i="9"/>
  <c r="Z7" i="9"/>
  <c r="Y7" i="9"/>
  <c r="X7" i="9"/>
  <c r="R7" i="9"/>
  <c r="AH6" i="9"/>
  <c r="AG6" i="9"/>
  <c r="AF6" i="9"/>
  <c r="AD6" i="9"/>
  <c r="AC6" i="9"/>
  <c r="AB6" i="9"/>
  <c r="Z6" i="9"/>
  <c r="Y6" i="9"/>
  <c r="X6" i="9"/>
  <c r="R6" i="9"/>
  <c r="AH5" i="9"/>
  <c r="AG5" i="9"/>
  <c r="AF5" i="9"/>
  <c r="AD5" i="9"/>
  <c r="AC5" i="9"/>
  <c r="AB5" i="9"/>
  <c r="Z5" i="9"/>
  <c r="Y5" i="9"/>
  <c r="X5" i="9"/>
  <c r="R5" i="9"/>
  <c r="AH4" i="9"/>
  <c r="AG4" i="9"/>
  <c r="AF4" i="9"/>
  <c r="AD4" i="9"/>
  <c r="AC4" i="9"/>
  <c r="AB4" i="9"/>
  <c r="Z4" i="9"/>
  <c r="Y4" i="9"/>
  <c r="X4" i="9"/>
  <c r="R4" i="9"/>
  <c r="AH3" i="9"/>
  <c r="AG3" i="9"/>
  <c r="AF3" i="9"/>
  <c r="AD3" i="9"/>
  <c r="AC3" i="9"/>
  <c r="AB3" i="9"/>
  <c r="Z3" i="9"/>
  <c r="Y3" i="9"/>
  <c r="X3" i="9"/>
  <c r="R3" i="9"/>
  <c r="AH2" i="9"/>
  <c r="AG2" i="9"/>
  <c r="AF2" i="9"/>
  <c r="AD2" i="9"/>
  <c r="AC2" i="9"/>
  <c r="AB2" i="9"/>
  <c r="Z2" i="9"/>
  <c r="Y2" i="9"/>
  <c r="X2" i="9"/>
  <c r="R2" i="9"/>
  <c r="AH16" i="8"/>
  <c r="AG16" i="8"/>
  <c r="AF16" i="8"/>
  <c r="AD16" i="8"/>
  <c r="AC16" i="8"/>
  <c r="AB16" i="8"/>
  <c r="Z16" i="8"/>
  <c r="Y16" i="8"/>
  <c r="X16" i="8"/>
  <c r="R16" i="8"/>
  <c r="AH15" i="8"/>
  <c r="AG15" i="8"/>
  <c r="AF15" i="8"/>
  <c r="AD15" i="8"/>
  <c r="AC15" i="8"/>
  <c r="AB15" i="8"/>
  <c r="Z15" i="8"/>
  <c r="Y15" i="8"/>
  <c r="X15" i="8"/>
  <c r="R15" i="8"/>
  <c r="AH14" i="8"/>
  <c r="AG14" i="8"/>
  <c r="AF14" i="8"/>
  <c r="AD14" i="8"/>
  <c r="AC14" i="8"/>
  <c r="AB14" i="8"/>
  <c r="Z14" i="8"/>
  <c r="Y14" i="8"/>
  <c r="X14" i="8"/>
  <c r="R14" i="8"/>
  <c r="AH13" i="8"/>
  <c r="AG13" i="8"/>
  <c r="AF13" i="8"/>
  <c r="AD13" i="8"/>
  <c r="AC13" i="8"/>
  <c r="AB13" i="8"/>
  <c r="Z13" i="8"/>
  <c r="Y13" i="8"/>
  <c r="X13" i="8"/>
  <c r="R13" i="8"/>
  <c r="AH12" i="8"/>
  <c r="AG12" i="8"/>
  <c r="AF12" i="8"/>
  <c r="AD12" i="8"/>
  <c r="AC12" i="8"/>
  <c r="AB12" i="8"/>
  <c r="Z12" i="8"/>
  <c r="Y12" i="8"/>
  <c r="X12" i="8"/>
  <c r="R12" i="8"/>
  <c r="AH11" i="8"/>
  <c r="AG11" i="8"/>
  <c r="AF11" i="8"/>
  <c r="AD11" i="8"/>
  <c r="AC11" i="8"/>
  <c r="AB11" i="8"/>
  <c r="Z11" i="8"/>
  <c r="Y11" i="8"/>
  <c r="X11" i="8"/>
  <c r="R11" i="8"/>
  <c r="AH10" i="8"/>
  <c r="AG10" i="8"/>
  <c r="AF10" i="8"/>
  <c r="AD10" i="8"/>
  <c r="AC10" i="8"/>
  <c r="AB10" i="8"/>
  <c r="Z10" i="8"/>
  <c r="Y10" i="8"/>
  <c r="X10" i="8"/>
  <c r="R10" i="8"/>
  <c r="AH9" i="8"/>
  <c r="AG9" i="8"/>
  <c r="AF9" i="8"/>
  <c r="AD9" i="8"/>
  <c r="AC9" i="8"/>
  <c r="AB9" i="8"/>
  <c r="Z9" i="8"/>
  <c r="Y9" i="8"/>
  <c r="X9" i="8"/>
  <c r="R9" i="8"/>
  <c r="AH8" i="8"/>
  <c r="AG8" i="8"/>
  <c r="AF8" i="8"/>
  <c r="AD8" i="8"/>
  <c r="AC8" i="8"/>
  <c r="AB8" i="8"/>
  <c r="Z8" i="8"/>
  <c r="Y8" i="8"/>
  <c r="X8" i="8"/>
  <c r="R8" i="8"/>
  <c r="AH7" i="8"/>
  <c r="AG7" i="8"/>
  <c r="AF7" i="8"/>
  <c r="AD7" i="8"/>
  <c r="AC7" i="8"/>
  <c r="AB7" i="8"/>
  <c r="Z7" i="8"/>
  <c r="Y7" i="8"/>
  <c r="X7" i="8"/>
  <c r="R7" i="8"/>
  <c r="AH6" i="8"/>
  <c r="AG6" i="8"/>
  <c r="AF6" i="8"/>
  <c r="AD6" i="8"/>
  <c r="AC6" i="8"/>
  <c r="AB6" i="8"/>
  <c r="Z6" i="8"/>
  <c r="Y6" i="8"/>
  <c r="X6" i="8"/>
  <c r="R6" i="8"/>
  <c r="AH5" i="8"/>
  <c r="AG5" i="8"/>
  <c r="AF5" i="8"/>
  <c r="AD5" i="8"/>
  <c r="AC5" i="8"/>
  <c r="AB5" i="8"/>
  <c r="Z5" i="8"/>
  <c r="Y5" i="8"/>
  <c r="X5" i="8"/>
  <c r="R5" i="8"/>
  <c r="AH4" i="8"/>
  <c r="AG4" i="8"/>
  <c r="AF4" i="8"/>
  <c r="AD4" i="8"/>
  <c r="AC4" i="8"/>
  <c r="AB4" i="8"/>
  <c r="Z4" i="8"/>
  <c r="Y4" i="8"/>
  <c r="X4" i="8"/>
  <c r="R4" i="8"/>
  <c r="AH3" i="8"/>
  <c r="AG3" i="8"/>
  <c r="AF3" i="8"/>
  <c r="AD3" i="8"/>
  <c r="AC3" i="8"/>
  <c r="AB3" i="8"/>
  <c r="Z3" i="8"/>
  <c r="Y3" i="8"/>
  <c r="X3" i="8"/>
  <c r="R3" i="8"/>
  <c r="AH2" i="8"/>
  <c r="AG2" i="8"/>
  <c r="AF2" i="8"/>
  <c r="AD2" i="8"/>
  <c r="AC2" i="8"/>
  <c r="AB2" i="8"/>
  <c r="Z2" i="8"/>
  <c r="Y2" i="8"/>
  <c r="X2" i="8"/>
  <c r="R2" i="8"/>
  <c r="AH16" i="7" l="1"/>
  <c r="AG16" i="7"/>
  <c r="AF16" i="7"/>
  <c r="AD16" i="7"/>
  <c r="AC16" i="7"/>
  <c r="AB16" i="7"/>
  <c r="Z16" i="7"/>
  <c r="Y16" i="7"/>
  <c r="X16" i="7"/>
  <c r="R16" i="7"/>
  <c r="AH15" i="7"/>
  <c r="AG15" i="7"/>
  <c r="AF15" i="7"/>
  <c r="AD15" i="7"/>
  <c r="AC15" i="7"/>
  <c r="AB15" i="7"/>
  <c r="Z15" i="7"/>
  <c r="Y15" i="7"/>
  <c r="X15" i="7"/>
  <c r="R15" i="7"/>
  <c r="AH14" i="7"/>
  <c r="AG14" i="7"/>
  <c r="AF14" i="7"/>
  <c r="AD14" i="7"/>
  <c r="AC14" i="7"/>
  <c r="AB14" i="7"/>
  <c r="Z14" i="7"/>
  <c r="Y14" i="7"/>
  <c r="X14" i="7"/>
  <c r="R14" i="7"/>
  <c r="AH13" i="7"/>
  <c r="AG13" i="7"/>
  <c r="AF13" i="7"/>
  <c r="AD13" i="7"/>
  <c r="AC13" i="7"/>
  <c r="AB13" i="7"/>
  <c r="Z13" i="7"/>
  <c r="Y13" i="7"/>
  <c r="X13" i="7"/>
  <c r="R13" i="7"/>
  <c r="AH12" i="7"/>
  <c r="AG12" i="7"/>
  <c r="AF12" i="7"/>
  <c r="AD12" i="7"/>
  <c r="AC12" i="7"/>
  <c r="AB12" i="7"/>
  <c r="Z12" i="7"/>
  <c r="Y12" i="7"/>
  <c r="X12" i="7"/>
  <c r="R12" i="7"/>
  <c r="AH11" i="7"/>
  <c r="AG11" i="7"/>
  <c r="AF11" i="7"/>
  <c r="AD11" i="7"/>
  <c r="AC11" i="7"/>
  <c r="AB11" i="7"/>
  <c r="Z11" i="7"/>
  <c r="Y11" i="7"/>
  <c r="X11" i="7"/>
  <c r="R11" i="7"/>
  <c r="AH10" i="7"/>
  <c r="AG10" i="7"/>
  <c r="AF10" i="7"/>
  <c r="AD10" i="7"/>
  <c r="AC10" i="7"/>
  <c r="AB10" i="7"/>
  <c r="Z10" i="7"/>
  <c r="Y10" i="7"/>
  <c r="X10" i="7"/>
  <c r="R10" i="7"/>
  <c r="AH9" i="7"/>
  <c r="AG9" i="7"/>
  <c r="AF9" i="7"/>
  <c r="AD9" i="7"/>
  <c r="AC9" i="7"/>
  <c r="AB9" i="7"/>
  <c r="Z9" i="7"/>
  <c r="Y9" i="7"/>
  <c r="X9" i="7"/>
  <c r="R9" i="7"/>
  <c r="AH8" i="7"/>
  <c r="AG8" i="7"/>
  <c r="AF8" i="7"/>
  <c r="AD8" i="7"/>
  <c r="AC8" i="7"/>
  <c r="AB8" i="7"/>
  <c r="Z8" i="7"/>
  <c r="Y8" i="7"/>
  <c r="X8" i="7"/>
  <c r="R8" i="7"/>
  <c r="AH7" i="7"/>
  <c r="AG7" i="7"/>
  <c r="AF7" i="7"/>
  <c r="AD7" i="7"/>
  <c r="AC7" i="7"/>
  <c r="AB7" i="7"/>
  <c r="Z7" i="7"/>
  <c r="Y7" i="7"/>
  <c r="X7" i="7"/>
  <c r="R7" i="7"/>
  <c r="AH6" i="7"/>
  <c r="AG6" i="7"/>
  <c r="AF6" i="7"/>
  <c r="AD6" i="7"/>
  <c r="AC6" i="7"/>
  <c r="AB6" i="7"/>
  <c r="Z6" i="7"/>
  <c r="Y6" i="7"/>
  <c r="X6" i="7"/>
  <c r="R6" i="7"/>
  <c r="AH5" i="7"/>
  <c r="AG5" i="7"/>
  <c r="AF5" i="7"/>
  <c r="AD5" i="7"/>
  <c r="AC5" i="7"/>
  <c r="AB5" i="7"/>
  <c r="Z5" i="7"/>
  <c r="Y5" i="7"/>
  <c r="X5" i="7"/>
  <c r="R5" i="7"/>
  <c r="AH4" i="7"/>
  <c r="AG4" i="7"/>
  <c r="AF4" i="7"/>
  <c r="AD4" i="7"/>
  <c r="AC4" i="7"/>
  <c r="AB4" i="7"/>
  <c r="Z4" i="7"/>
  <c r="Y4" i="7"/>
  <c r="X4" i="7"/>
  <c r="R4" i="7"/>
  <c r="AH3" i="7"/>
  <c r="AG3" i="7"/>
  <c r="AF3" i="7"/>
  <c r="AD3" i="7"/>
  <c r="AC3" i="7"/>
  <c r="AB3" i="7"/>
  <c r="Z3" i="7"/>
  <c r="Y3" i="7"/>
  <c r="X3" i="7"/>
  <c r="R3" i="7"/>
  <c r="AH2" i="7"/>
  <c r="AG2" i="7"/>
  <c r="AF2" i="7"/>
  <c r="AD2" i="7"/>
  <c r="AC2" i="7"/>
  <c r="AB2" i="7"/>
  <c r="Z2" i="7"/>
  <c r="Y2" i="7"/>
  <c r="X2" i="7"/>
  <c r="R2" i="7"/>
  <c r="AH16" i="6"/>
  <c r="AG16" i="6"/>
  <c r="AF16" i="6"/>
  <c r="AD16" i="6"/>
  <c r="AC16" i="6"/>
  <c r="AB16" i="6"/>
  <c r="Z16" i="6"/>
  <c r="Y16" i="6"/>
  <c r="X16" i="6"/>
  <c r="R16" i="6"/>
  <c r="AH15" i="6"/>
  <c r="AG15" i="6"/>
  <c r="AF15" i="6"/>
  <c r="AD15" i="6"/>
  <c r="AC15" i="6"/>
  <c r="AB15" i="6"/>
  <c r="Z15" i="6"/>
  <c r="Y15" i="6"/>
  <c r="X15" i="6"/>
  <c r="R15" i="6"/>
  <c r="AH14" i="6"/>
  <c r="AG14" i="6"/>
  <c r="AF14" i="6"/>
  <c r="AD14" i="6"/>
  <c r="AC14" i="6"/>
  <c r="AB14" i="6"/>
  <c r="Z14" i="6"/>
  <c r="Y14" i="6"/>
  <c r="X14" i="6"/>
  <c r="R14" i="6"/>
  <c r="AH13" i="6"/>
  <c r="AG13" i="6"/>
  <c r="AF13" i="6"/>
  <c r="AD13" i="6"/>
  <c r="AC13" i="6"/>
  <c r="AB13" i="6"/>
  <c r="Z13" i="6"/>
  <c r="Y13" i="6"/>
  <c r="X13" i="6"/>
  <c r="R13" i="6"/>
  <c r="AH12" i="6"/>
  <c r="AG12" i="6"/>
  <c r="AF12" i="6"/>
  <c r="AD12" i="6"/>
  <c r="AC12" i="6"/>
  <c r="AB12" i="6"/>
  <c r="Z12" i="6"/>
  <c r="Y12" i="6"/>
  <c r="X12" i="6"/>
  <c r="R12" i="6"/>
  <c r="AH11" i="6"/>
  <c r="AG11" i="6"/>
  <c r="AF11" i="6"/>
  <c r="AD11" i="6"/>
  <c r="AC11" i="6"/>
  <c r="AB11" i="6"/>
  <c r="Z11" i="6"/>
  <c r="Y11" i="6"/>
  <c r="X11" i="6"/>
  <c r="R11" i="6"/>
  <c r="AH10" i="6"/>
  <c r="AG10" i="6"/>
  <c r="AF10" i="6"/>
  <c r="AD10" i="6"/>
  <c r="AC10" i="6"/>
  <c r="AB10" i="6"/>
  <c r="Z10" i="6"/>
  <c r="Y10" i="6"/>
  <c r="X10" i="6"/>
  <c r="R10" i="6"/>
  <c r="AH9" i="6"/>
  <c r="AG9" i="6"/>
  <c r="AF9" i="6"/>
  <c r="AD9" i="6"/>
  <c r="AC9" i="6"/>
  <c r="AB9" i="6"/>
  <c r="Z9" i="6"/>
  <c r="Y9" i="6"/>
  <c r="X9" i="6"/>
  <c r="R9" i="6"/>
  <c r="AH8" i="6"/>
  <c r="AG8" i="6"/>
  <c r="AF8" i="6"/>
  <c r="AD8" i="6"/>
  <c r="AC8" i="6"/>
  <c r="AB8" i="6"/>
  <c r="Z8" i="6"/>
  <c r="Y8" i="6"/>
  <c r="X8" i="6"/>
  <c r="R8" i="6"/>
  <c r="AH7" i="6"/>
  <c r="AG7" i="6"/>
  <c r="AF7" i="6"/>
  <c r="AD7" i="6"/>
  <c r="AC7" i="6"/>
  <c r="AB7" i="6"/>
  <c r="Z7" i="6"/>
  <c r="Y7" i="6"/>
  <c r="X7" i="6"/>
  <c r="R7" i="6"/>
  <c r="AH6" i="6"/>
  <c r="AG6" i="6"/>
  <c r="AF6" i="6"/>
  <c r="AD6" i="6"/>
  <c r="AC6" i="6"/>
  <c r="AB6" i="6"/>
  <c r="Z6" i="6"/>
  <c r="Y6" i="6"/>
  <c r="X6" i="6"/>
  <c r="R6" i="6"/>
  <c r="AH5" i="6"/>
  <c r="AG5" i="6"/>
  <c r="AF5" i="6"/>
  <c r="AD5" i="6"/>
  <c r="AC5" i="6"/>
  <c r="AB5" i="6"/>
  <c r="Z5" i="6"/>
  <c r="Y5" i="6"/>
  <c r="X5" i="6"/>
  <c r="R5" i="6"/>
  <c r="AH4" i="6"/>
  <c r="AG4" i="6"/>
  <c r="AF4" i="6"/>
  <c r="AD4" i="6"/>
  <c r="AC4" i="6"/>
  <c r="AB4" i="6"/>
  <c r="Z4" i="6"/>
  <c r="Y4" i="6"/>
  <c r="X4" i="6"/>
  <c r="R4" i="6"/>
  <c r="AH3" i="6"/>
  <c r="AG3" i="6"/>
  <c r="AF3" i="6"/>
  <c r="AD3" i="6"/>
  <c r="AC3" i="6"/>
  <c r="AB3" i="6"/>
  <c r="Z3" i="6"/>
  <c r="Y3" i="6"/>
  <c r="X3" i="6"/>
  <c r="R3" i="6"/>
  <c r="AH2" i="6"/>
  <c r="AG2" i="6"/>
  <c r="AF2" i="6"/>
  <c r="AD2" i="6"/>
  <c r="AC2" i="6"/>
  <c r="AB2" i="6"/>
  <c r="Z2" i="6"/>
  <c r="Y2" i="6"/>
  <c r="X2" i="6"/>
  <c r="R2" i="6"/>
  <c r="AH16" i="5" l="1"/>
  <c r="AG16" i="5"/>
  <c r="AF16" i="5"/>
  <c r="AD16" i="5"/>
  <c r="AC16" i="5"/>
  <c r="AB16" i="5"/>
  <c r="Z16" i="5"/>
  <c r="Y16" i="5"/>
  <c r="X16" i="5"/>
  <c r="R16" i="5"/>
  <c r="AH15" i="5"/>
  <c r="AG15" i="5"/>
  <c r="AF15" i="5"/>
  <c r="AD15" i="5"/>
  <c r="AC15" i="5"/>
  <c r="AB15" i="5"/>
  <c r="Z15" i="5"/>
  <c r="Y15" i="5"/>
  <c r="X15" i="5"/>
  <c r="R15" i="5"/>
  <c r="AH14" i="5"/>
  <c r="AG14" i="5"/>
  <c r="AF14" i="5"/>
  <c r="AD14" i="5"/>
  <c r="AC14" i="5"/>
  <c r="AB14" i="5"/>
  <c r="Z14" i="5"/>
  <c r="Y14" i="5"/>
  <c r="X14" i="5"/>
  <c r="R14" i="5"/>
  <c r="AH13" i="5"/>
  <c r="AG13" i="5"/>
  <c r="AF13" i="5"/>
  <c r="AD13" i="5"/>
  <c r="AC13" i="5"/>
  <c r="AB13" i="5"/>
  <c r="Z13" i="5"/>
  <c r="Y13" i="5"/>
  <c r="X13" i="5"/>
  <c r="R13" i="5"/>
  <c r="AH12" i="5"/>
  <c r="AG12" i="5"/>
  <c r="AF12" i="5"/>
  <c r="AD12" i="5"/>
  <c r="AC12" i="5"/>
  <c r="AB12" i="5"/>
  <c r="Z12" i="5"/>
  <c r="Y12" i="5"/>
  <c r="X12" i="5"/>
  <c r="R12" i="5"/>
  <c r="AH11" i="5"/>
  <c r="AG11" i="5"/>
  <c r="AF11" i="5"/>
  <c r="AD11" i="5"/>
  <c r="AC11" i="5"/>
  <c r="AB11" i="5"/>
  <c r="Z11" i="5"/>
  <c r="Y11" i="5"/>
  <c r="X11" i="5"/>
  <c r="R11" i="5"/>
  <c r="AH10" i="5"/>
  <c r="AG10" i="5"/>
  <c r="AF10" i="5"/>
  <c r="AD10" i="5"/>
  <c r="AC10" i="5"/>
  <c r="AB10" i="5"/>
  <c r="Z10" i="5"/>
  <c r="Y10" i="5"/>
  <c r="X10" i="5"/>
  <c r="R10" i="5"/>
  <c r="AH9" i="5"/>
  <c r="AG9" i="5"/>
  <c r="AF9" i="5"/>
  <c r="AD9" i="5"/>
  <c r="AC9" i="5"/>
  <c r="AB9" i="5"/>
  <c r="Z9" i="5"/>
  <c r="Y9" i="5"/>
  <c r="X9" i="5"/>
  <c r="R9" i="5"/>
  <c r="AH8" i="5"/>
  <c r="AG8" i="5"/>
  <c r="AF8" i="5"/>
  <c r="AD8" i="5"/>
  <c r="AC8" i="5"/>
  <c r="AB8" i="5"/>
  <c r="Z8" i="5"/>
  <c r="Y8" i="5"/>
  <c r="X8" i="5"/>
  <c r="R8" i="5"/>
  <c r="AH7" i="5"/>
  <c r="AG7" i="5"/>
  <c r="AF7" i="5"/>
  <c r="AD7" i="5"/>
  <c r="AC7" i="5"/>
  <c r="AB7" i="5"/>
  <c r="Z7" i="5"/>
  <c r="Y7" i="5"/>
  <c r="X7" i="5"/>
  <c r="R7" i="5"/>
  <c r="AH6" i="5"/>
  <c r="AG6" i="5"/>
  <c r="AF6" i="5"/>
  <c r="AD6" i="5"/>
  <c r="AC6" i="5"/>
  <c r="AB6" i="5"/>
  <c r="Z6" i="5"/>
  <c r="Y6" i="5"/>
  <c r="X6" i="5"/>
  <c r="R6" i="5"/>
  <c r="AH5" i="5"/>
  <c r="AG5" i="5"/>
  <c r="AF5" i="5"/>
  <c r="AD5" i="5"/>
  <c r="AC5" i="5"/>
  <c r="AB5" i="5"/>
  <c r="Z5" i="5"/>
  <c r="Y5" i="5"/>
  <c r="X5" i="5"/>
  <c r="R5" i="5"/>
  <c r="AH4" i="5"/>
  <c r="AG4" i="5"/>
  <c r="AF4" i="5"/>
  <c r="AD4" i="5"/>
  <c r="AC4" i="5"/>
  <c r="AB4" i="5"/>
  <c r="Z4" i="5"/>
  <c r="Y4" i="5"/>
  <c r="X4" i="5"/>
  <c r="R4" i="5"/>
  <c r="AH3" i="5"/>
  <c r="AG3" i="5"/>
  <c r="AF3" i="5"/>
  <c r="AD3" i="5"/>
  <c r="AC3" i="5"/>
  <c r="AB3" i="5"/>
  <c r="Z3" i="5"/>
  <c r="Y3" i="5"/>
  <c r="X3" i="5"/>
  <c r="R3" i="5"/>
  <c r="AH2" i="5"/>
  <c r="AG2" i="5"/>
  <c r="AF2" i="5"/>
  <c r="AD2" i="5"/>
  <c r="AC2" i="5"/>
  <c r="AB2" i="5"/>
  <c r="Z2" i="5"/>
  <c r="Y2" i="5"/>
  <c r="X2" i="5"/>
  <c r="R2" i="5"/>
  <c r="AH16" i="4"/>
  <c r="AG16" i="4"/>
  <c r="AF16" i="4"/>
  <c r="AD16" i="4"/>
  <c r="AC16" i="4"/>
  <c r="AB16" i="4"/>
  <c r="Z16" i="4"/>
  <c r="Y16" i="4"/>
  <c r="X16" i="4"/>
  <c r="R16" i="4"/>
  <c r="AH15" i="4"/>
  <c r="AG15" i="4"/>
  <c r="AF15" i="4"/>
  <c r="AD15" i="4"/>
  <c r="AC15" i="4"/>
  <c r="AB15" i="4"/>
  <c r="Z15" i="4"/>
  <c r="Y15" i="4"/>
  <c r="X15" i="4"/>
  <c r="R15" i="4"/>
  <c r="AH14" i="4"/>
  <c r="AG14" i="4"/>
  <c r="AF14" i="4"/>
  <c r="AD14" i="4"/>
  <c r="AC14" i="4"/>
  <c r="AB14" i="4"/>
  <c r="Z14" i="4"/>
  <c r="Y14" i="4"/>
  <c r="X14" i="4"/>
  <c r="R14" i="4"/>
  <c r="AH13" i="4"/>
  <c r="AG13" i="4"/>
  <c r="AF13" i="4"/>
  <c r="AD13" i="4"/>
  <c r="AC13" i="4"/>
  <c r="AB13" i="4"/>
  <c r="Z13" i="4"/>
  <c r="Y13" i="4"/>
  <c r="X13" i="4"/>
  <c r="R13" i="4"/>
  <c r="AH12" i="4"/>
  <c r="AG12" i="4"/>
  <c r="AF12" i="4"/>
  <c r="AD12" i="4"/>
  <c r="AC12" i="4"/>
  <c r="AB12" i="4"/>
  <c r="Z12" i="4"/>
  <c r="Y12" i="4"/>
  <c r="X12" i="4"/>
  <c r="R12" i="4"/>
  <c r="AH11" i="4"/>
  <c r="AG11" i="4"/>
  <c r="AF11" i="4"/>
  <c r="AD11" i="4"/>
  <c r="AC11" i="4"/>
  <c r="AB11" i="4"/>
  <c r="Z11" i="4"/>
  <c r="Y11" i="4"/>
  <c r="X11" i="4"/>
  <c r="R11" i="4"/>
  <c r="AH10" i="4"/>
  <c r="AG10" i="4"/>
  <c r="AF10" i="4"/>
  <c r="AD10" i="4"/>
  <c r="AC10" i="4"/>
  <c r="AB10" i="4"/>
  <c r="Z10" i="4"/>
  <c r="Y10" i="4"/>
  <c r="X10" i="4"/>
  <c r="R10" i="4"/>
  <c r="AH9" i="4"/>
  <c r="AG9" i="4"/>
  <c r="AF9" i="4"/>
  <c r="AD9" i="4"/>
  <c r="AC9" i="4"/>
  <c r="AB9" i="4"/>
  <c r="Z9" i="4"/>
  <c r="Y9" i="4"/>
  <c r="X9" i="4"/>
  <c r="R9" i="4"/>
  <c r="AH8" i="4"/>
  <c r="AG8" i="4"/>
  <c r="AF8" i="4"/>
  <c r="AD8" i="4"/>
  <c r="AC8" i="4"/>
  <c r="AB8" i="4"/>
  <c r="Z8" i="4"/>
  <c r="Y8" i="4"/>
  <c r="X8" i="4"/>
  <c r="R8" i="4"/>
  <c r="AH7" i="4"/>
  <c r="AG7" i="4"/>
  <c r="AF7" i="4"/>
  <c r="AD7" i="4"/>
  <c r="AC7" i="4"/>
  <c r="AB7" i="4"/>
  <c r="Z7" i="4"/>
  <c r="Y7" i="4"/>
  <c r="X7" i="4"/>
  <c r="R7" i="4"/>
  <c r="AH6" i="4"/>
  <c r="AG6" i="4"/>
  <c r="AF6" i="4"/>
  <c r="AD6" i="4"/>
  <c r="AC6" i="4"/>
  <c r="AB6" i="4"/>
  <c r="Z6" i="4"/>
  <c r="Y6" i="4"/>
  <c r="X6" i="4"/>
  <c r="R6" i="4"/>
  <c r="AH5" i="4"/>
  <c r="AG5" i="4"/>
  <c r="AF5" i="4"/>
  <c r="AD5" i="4"/>
  <c r="AC5" i="4"/>
  <c r="AB5" i="4"/>
  <c r="Z5" i="4"/>
  <c r="Y5" i="4"/>
  <c r="X5" i="4"/>
  <c r="R5" i="4"/>
  <c r="AH4" i="4"/>
  <c r="AG4" i="4"/>
  <c r="AF4" i="4"/>
  <c r="AD4" i="4"/>
  <c r="AC4" i="4"/>
  <c r="AB4" i="4"/>
  <c r="Z4" i="4"/>
  <c r="Y4" i="4"/>
  <c r="X4" i="4"/>
  <c r="R4" i="4"/>
  <c r="AH3" i="4"/>
  <c r="AG3" i="4"/>
  <c r="AF3" i="4"/>
  <c r="AD3" i="4"/>
  <c r="AC3" i="4"/>
  <c r="AB3" i="4"/>
  <c r="Z3" i="4"/>
  <c r="Y3" i="4"/>
  <c r="X3" i="4"/>
  <c r="R3" i="4"/>
  <c r="AH2" i="4"/>
  <c r="AG2" i="4"/>
  <c r="AF2" i="4"/>
  <c r="AD2" i="4"/>
  <c r="AC2" i="4"/>
  <c r="AB2" i="4"/>
  <c r="Z2" i="4"/>
  <c r="Y2" i="4"/>
  <c r="X2" i="4"/>
  <c r="R2" i="4"/>
  <c r="AH16" i="3"/>
  <c r="AG16" i="3"/>
  <c r="AF16" i="3"/>
  <c r="AD16" i="3"/>
  <c r="AC16" i="3"/>
  <c r="AB16" i="3"/>
  <c r="Z16" i="3"/>
  <c r="Y16" i="3"/>
  <c r="X16" i="3"/>
  <c r="R16" i="3"/>
  <c r="AH15" i="3"/>
  <c r="AG15" i="3"/>
  <c r="AF15" i="3"/>
  <c r="AD15" i="3"/>
  <c r="AC15" i="3"/>
  <c r="AB15" i="3"/>
  <c r="Z15" i="3"/>
  <c r="Y15" i="3"/>
  <c r="X15" i="3"/>
  <c r="R15" i="3"/>
  <c r="AH14" i="3"/>
  <c r="AG14" i="3"/>
  <c r="AF14" i="3"/>
  <c r="AD14" i="3"/>
  <c r="AC14" i="3"/>
  <c r="AB14" i="3"/>
  <c r="Z14" i="3"/>
  <c r="Y14" i="3"/>
  <c r="X14" i="3"/>
  <c r="R14" i="3"/>
  <c r="AH13" i="3"/>
  <c r="AG13" i="3"/>
  <c r="AF13" i="3"/>
  <c r="AD13" i="3"/>
  <c r="AC13" i="3"/>
  <c r="AB13" i="3"/>
  <c r="Z13" i="3"/>
  <c r="Y13" i="3"/>
  <c r="X13" i="3"/>
  <c r="R13" i="3"/>
  <c r="AH12" i="3"/>
  <c r="AG12" i="3"/>
  <c r="AF12" i="3"/>
  <c r="AD12" i="3"/>
  <c r="AC12" i="3"/>
  <c r="AB12" i="3"/>
  <c r="Z12" i="3"/>
  <c r="Y12" i="3"/>
  <c r="X12" i="3"/>
  <c r="R12" i="3"/>
  <c r="AH11" i="3"/>
  <c r="AG11" i="3"/>
  <c r="AF11" i="3"/>
  <c r="AD11" i="3"/>
  <c r="AC11" i="3"/>
  <c r="AB11" i="3"/>
  <c r="Z11" i="3"/>
  <c r="Y11" i="3"/>
  <c r="X11" i="3"/>
  <c r="R11" i="3"/>
  <c r="AH10" i="3"/>
  <c r="AG10" i="3"/>
  <c r="AF10" i="3"/>
  <c r="AD10" i="3"/>
  <c r="AC10" i="3"/>
  <c r="AB10" i="3"/>
  <c r="Z10" i="3"/>
  <c r="Y10" i="3"/>
  <c r="X10" i="3"/>
  <c r="R10" i="3"/>
  <c r="AH9" i="3"/>
  <c r="AG9" i="3"/>
  <c r="AF9" i="3"/>
  <c r="AD9" i="3"/>
  <c r="AC9" i="3"/>
  <c r="AB9" i="3"/>
  <c r="Z9" i="3"/>
  <c r="Y9" i="3"/>
  <c r="X9" i="3"/>
  <c r="R9" i="3"/>
  <c r="AH8" i="3"/>
  <c r="AG8" i="3"/>
  <c r="AF8" i="3"/>
  <c r="AD8" i="3"/>
  <c r="AC8" i="3"/>
  <c r="AB8" i="3"/>
  <c r="Z8" i="3"/>
  <c r="Y8" i="3"/>
  <c r="X8" i="3"/>
  <c r="R8" i="3"/>
  <c r="AH7" i="3"/>
  <c r="AG7" i="3"/>
  <c r="AF7" i="3"/>
  <c r="AD7" i="3"/>
  <c r="AC7" i="3"/>
  <c r="AB7" i="3"/>
  <c r="Z7" i="3"/>
  <c r="Y7" i="3"/>
  <c r="X7" i="3"/>
  <c r="R7" i="3"/>
  <c r="AH6" i="3"/>
  <c r="AG6" i="3"/>
  <c r="AF6" i="3"/>
  <c r="AD6" i="3"/>
  <c r="AC6" i="3"/>
  <c r="AB6" i="3"/>
  <c r="Z6" i="3"/>
  <c r="Y6" i="3"/>
  <c r="X6" i="3"/>
  <c r="R6" i="3"/>
  <c r="AH5" i="3"/>
  <c r="AG5" i="3"/>
  <c r="AF5" i="3"/>
  <c r="AD5" i="3"/>
  <c r="AC5" i="3"/>
  <c r="AB5" i="3"/>
  <c r="Z5" i="3"/>
  <c r="Y5" i="3"/>
  <c r="X5" i="3"/>
  <c r="R5" i="3"/>
  <c r="AH4" i="3"/>
  <c r="AG4" i="3"/>
  <c r="AF4" i="3"/>
  <c r="AD4" i="3"/>
  <c r="AC4" i="3"/>
  <c r="AB4" i="3"/>
  <c r="Z4" i="3"/>
  <c r="Y4" i="3"/>
  <c r="X4" i="3"/>
  <c r="R4" i="3"/>
  <c r="AH3" i="3"/>
  <c r="AG3" i="3"/>
  <c r="AF3" i="3"/>
  <c r="AD3" i="3"/>
  <c r="AC3" i="3"/>
  <c r="AB3" i="3"/>
  <c r="Z3" i="3"/>
  <c r="Y3" i="3"/>
  <c r="X3" i="3"/>
  <c r="R3" i="3"/>
  <c r="AH2" i="3"/>
  <c r="AG2" i="3"/>
  <c r="AF2" i="3"/>
  <c r="AD2" i="3"/>
  <c r="AC2" i="3"/>
  <c r="AB2" i="3"/>
  <c r="Z2" i="3"/>
  <c r="Y2" i="3"/>
  <c r="X2" i="3"/>
  <c r="R2" i="3"/>
  <c r="AG3" i="2" l="1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2" i="2"/>
</calcChain>
</file>

<file path=xl/sharedStrings.xml><?xml version="1.0" encoding="utf-8"?>
<sst xmlns="http://schemas.openxmlformats.org/spreadsheetml/2006/main" count="256" uniqueCount="13">
  <si>
    <t>Pixel:</t>
  </si>
  <si>
    <t>x</t>
  </si>
  <si>
    <t>y</t>
  </si>
  <si>
    <t>z</t>
  </si>
  <si>
    <t>DeltaDepth:</t>
  </si>
  <si>
    <t>DeltaPC:</t>
  </si>
  <si>
    <t>Depth_Cam:</t>
  </si>
  <si>
    <t>RobotSpitzeCam</t>
  </si>
  <si>
    <t>RobotSpitzeCamAbstand</t>
  </si>
  <si>
    <t>PC_Cam</t>
  </si>
  <si>
    <t>RobotCoord:</t>
  </si>
  <si>
    <t>DeltaPixel2Center:</t>
  </si>
  <si>
    <t>DeltaAbstand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</si>
</sst>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readingOrder="1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ont="1" applyFill="1"/>
    <xf numFmtId="0" fontId="0" fillId="12" borderId="0" xfId="0" applyFont="1" applyFill="1"/>
    <xf numFmtId="0" fontId="0" fillId="14" borderId="0" xfId="0" applyFont="1" applyFill="1"/>
    <xf numFmtId="0" fontId="0" fillId="1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O1" zoomScaleNormal="100" workbookViewId="0">
      <selection activeCell="W30" sqref="W30"/>
    </sheetView>
  </sheetViews>
  <sheetFormatPr defaultColWidth="11.42578125" defaultRowHeight="15" x14ac:dyDescent="0.25"/>
  <cols>
    <col min="13" max="13" width="16.85546875" customWidth="1"/>
    <col min="17" max="17" width="25.28515625" customWidth="1"/>
    <col min="19" max="19" width="13.42578125" customWidth="1"/>
    <col min="31" max="31" width="18.5703125" customWidth="1"/>
    <col min="34" max="34" width="16.5703125" customWidth="1"/>
  </cols>
  <sheetData>
    <row r="1" spans="1:34" x14ac:dyDescent="0.25">
      <c r="A1" s="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-181.13</v>
      </c>
      <c r="O2">
        <v>-77.28</v>
      </c>
      <c r="P2">
        <v>821.13</v>
      </c>
      <c r="R2">
        <f t="shared" ref="R2:R16" si="0" xml:space="preserve"> (N2^2+O2^2+P2^2)^0.5</f>
        <v>844.41385126015075</v>
      </c>
      <c r="T2">
        <v>205.6</v>
      </c>
      <c r="U2">
        <v>557.16</v>
      </c>
      <c r="V2">
        <v>50.09</v>
      </c>
      <c r="X2">
        <f t="shared" ref="X2:X16" si="1">N2-F2</f>
        <v>3.7800000000000011</v>
      </c>
      <c r="Y2">
        <f t="shared" ref="Y2:Y16" si="2">O2-G2</f>
        <v>0.60999999999999943</v>
      </c>
      <c r="Z2">
        <f t="shared" ref="Z2:Z16" si="3">P2-H2</f>
        <v>-16.870000000000005</v>
      </c>
      <c r="AB2">
        <f t="shared" ref="AB2:AB16" si="4">N2-J2</f>
        <v>6.8700000000000045</v>
      </c>
      <c r="AC2">
        <f t="shared" ref="AC2:AC16" si="5">O2-K2</f>
        <v>-1.2800000000000011</v>
      </c>
      <c r="AD2">
        <f t="shared" ref="AD2:AD16" si="6">P2-L2</f>
        <v>-16.870000000000005</v>
      </c>
      <c r="AF2">
        <f>C2-640</f>
        <v>-140</v>
      </c>
      <c r="AG2">
        <f>D2-360</f>
        <v>-48</v>
      </c>
      <c r="AH2">
        <f t="shared" ref="AH2:AH16" si="7">((C2-640)^2+(D2-360)^2)^0.5</f>
        <v>148</v>
      </c>
    </row>
    <row r="3" spans="1:34" x14ac:dyDescent="0.25">
      <c r="A3">
        <v>2</v>
      </c>
      <c r="C3">
        <v>576</v>
      </c>
      <c r="D3">
        <v>313</v>
      </c>
      <c r="F3">
        <v>-81.33</v>
      </c>
      <c r="G3">
        <v>-76.16</v>
      </c>
      <c r="H3">
        <v>834</v>
      </c>
      <c r="J3">
        <v>-84</v>
      </c>
      <c r="K3">
        <v>-75</v>
      </c>
      <c r="L3">
        <v>834</v>
      </c>
      <c r="N3">
        <v>-79.67</v>
      </c>
      <c r="O3">
        <v>-75.06</v>
      </c>
      <c r="P3">
        <v>819.46</v>
      </c>
      <c r="R3">
        <f t="shared" si="0"/>
        <v>826.7381714303508</v>
      </c>
      <c r="T3">
        <v>104.11</v>
      </c>
      <c r="U3">
        <v>557.76</v>
      </c>
      <c r="V3">
        <v>50.16</v>
      </c>
      <c r="X3">
        <f t="shared" si="1"/>
        <v>1.6599999999999966</v>
      </c>
      <c r="Y3">
        <f t="shared" si="2"/>
        <v>1.0999999999999943</v>
      </c>
      <c r="Z3">
        <f t="shared" si="3"/>
        <v>-14.539999999999964</v>
      </c>
      <c r="AB3">
        <f t="shared" si="4"/>
        <v>4.3299999999999983</v>
      </c>
      <c r="AC3">
        <f t="shared" si="5"/>
        <v>-6.0000000000002274E-2</v>
      </c>
      <c r="AD3">
        <f t="shared" si="6"/>
        <v>-14.539999999999964</v>
      </c>
      <c r="AF3">
        <f t="shared" ref="AF3:AF16" si="8">C3-640</f>
        <v>-64</v>
      </c>
      <c r="AG3">
        <f t="shared" ref="AG3:AG16" si="9">D3-360</f>
        <v>-47</v>
      </c>
      <c r="AH3">
        <f t="shared" si="7"/>
        <v>79.404030124421269</v>
      </c>
    </row>
    <row r="4" spans="1:34" x14ac:dyDescent="0.25">
      <c r="A4">
        <v>3</v>
      </c>
      <c r="C4">
        <v>650</v>
      </c>
      <c r="D4">
        <v>313</v>
      </c>
      <c r="F4">
        <v>18.68</v>
      </c>
      <c r="G4">
        <v>-76.25</v>
      </c>
      <c r="H4">
        <v>838</v>
      </c>
      <c r="J4">
        <v>17</v>
      </c>
      <c r="K4">
        <v>-75</v>
      </c>
      <c r="L4">
        <v>835</v>
      </c>
      <c r="N4">
        <v>18.690000000000001</v>
      </c>
      <c r="O4">
        <v>-73.81</v>
      </c>
      <c r="P4">
        <v>818.6</v>
      </c>
      <c r="R4">
        <f t="shared" si="0"/>
        <v>822.13331777759743</v>
      </c>
      <c r="T4">
        <v>5.73</v>
      </c>
      <c r="U4">
        <v>557.16999999999996</v>
      </c>
      <c r="V4">
        <v>50.13</v>
      </c>
      <c r="X4">
        <f t="shared" si="1"/>
        <v>1.0000000000001563E-2</v>
      </c>
      <c r="Y4">
        <f t="shared" si="2"/>
        <v>2.4399999999999977</v>
      </c>
      <c r="Z4">
        <f t="shared" si="3"/>
        <v>-19.399999999999977</v>
      </c>
      <c r="AB4">
        <f t="shared" si="4"/>
        <v>1.6900000000000013</v>
      </c>
      <c r="AC4">
        <f t="shared" si="5"/>
        <v>1.1899999999999977</v>
      </c>
      <c r="AD4">
        <f t="shared" si="6"/>
        <v>-16.399999999999977</v>
      </c>
      <c r="AF4">
        <f t="shared" si="8"/>
        <v>10</v>
      </c>
      <c r="AG4">
        <f t="shared" si="9"/>
        <v>-47</v>
      </c>
      <c r="AH4">
        <f t="shared" si="7"/>
        <v>48.052055106935853</v>
      </c>
    </row>
    <row r="5" spans="1:34" x14ac:dyDescent="0.25">
      <c r="A5">
        <v>4</v>
      </c>
      <c r="C5">
        <v>727</v>
      </c>
      <c r="D5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120.04</v>
      </c>
      <c r="O5">
        <v>-72.260000000000005</v>
      </c>
      <c r="P5">
        <v>816.97</v>
      </c>
      <c r="R5">
        <f t="shared" si="0"/>
        <v>828.89751483521775</v>
      </c>
      <c r="T5">
        <v>-95.64</v>
      </c>
      <c r="U5">
        <v>557.19000000000005</v>
      </c>
      <c r="V5">
        <v>50.55</v>
      </c>
      <c r="X5">
        <f t="shared" si="1"/>
        <v>-3.1099999999999994</v>
      </c>
      <c r="Y5">
        <f t="shared" si="2"/>
        <v>4.1799999999999926</v>
      </c>
      <c r="Z5">
        <f t="shared" si="3"/>
        <v>-20.029999999999973</v>
      </c>
      <c r="AB5">
        <f t="shared" si="4"/>
        <v>-2.9599999999999937</v>
      </c>
      <c r="AC5">
        <f t="shared" si="5"/>
        <v>2.7399999999999949</v>
      </c>
      <c r="AD5">
        <f t="shared" si="6"/>
        <v>-20.029999999999973</v>
      </c>
      <c r="AF5">
        <f t="shared" si="8"/>
        <v>87</v>
      </c>
      <c r="AG5">
        <f t="shared" si="9"/>
        <v>-47</v>
      </c>
      <c r="AH5">
        <f t="shared" si="7"/>
        <v>98.883770154661889</v>
      </c>
    </row>
    <row r="6" spans="1:34" x14ac:dyDescent="0.25">
      <c r="A6">
        <v>5</v>
      </c>
      <c r="C6">
        <v>804</v>
      </c>
      <c r="D6">
        <v>313</v>
      </c>
      <c r="F6">
        <v>225.94</v>
      </c>
      <c r="G6">
        <v>-75.89</v>
      </c>
      <c r="H6">
        <v>831</v>
      </c>
      <c r="J6">
        <v>225</v>
      </c>
      <c r="K6">
        <v>-73</v>
      </c>
      <c r="L6">
        <v>830</v>
      </c>
      <c r="N6">
        <v>219.88</v>
      </c>
      <c r="O6">
        <v>-70.37</v>
      </c>
      <c r="P6">
        <v>815.36</v>
      </c>
      <c r="R6">
        <f t="shared" si="0"/>
        <v>847.41435018531524</v>
      </c>
      <c r="T6">
        <v>-195.51</v>
      </c>
      <c r="U6">
        <v>557.51</v>
      </c>
      <c r="V6">
        <v>50.77</v>
      </c>
      <c r="X6">
        <f t="shared" si="1"/>
        <v>-6.0600000000000023</v>
      </c>
      <c r="Y6">
        <f t="shared" si="2"/>
        <v>5.519999999999996</v>
      </c>
      <c r="Z6">
        <f t="shared" si="3"/>
        <v>-15.639999999999986</v>
      </c>
      <c r="AB6">
        <f t="shared" si="4"/>
        <v>-5.1200000000000045</v>
      </c>
      <c r="AC6">
        <f t="shared" si="5"/>
        <v>2.6299999999999955</v>
      </c>
      <c r="AD6">
        <f t="shared" si="6"/>
        <v>-14.639999999999986</v>
      </c>
      <c r="AF6">
        <f t="shared" si="8"/>
        <v>164</v>
      </c>
      <c r="AG6">
        <f t="shared" si="9"/>
        <v>-47</v>
      </c>
      <c r="AH6">
        <f t="shared" si="7"/>
        <v>170.60187572239644</v>
      </c>
    </row>
    <row r="7" spans="1:34" x14ac:dyDescent="0.25">
      <c r="A7">
        <v>6</v>
      </c>
      <c r="C7">
        <v>489</v>
      </c>
      <c r="D7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-183.07</v>
      </c>
      <c r="O7">
        <v>4.8099999999999996</v>
      </c>
      <c r="P7">
        <v>763.92</v>
      </c>
      <c r="R7">
        <f t="shared" si="0"/>
        <v>785.5644641911955</v>
      </c>
      <c r="T7">
        <v>205.39</v>
      </c>
      <c r="U7">
        <v>657.24</v>
      </c>
      <c r="V7">
        <v>49.31</v>
      </c>
      <c r="X7">
        <f t="shared" si="1"/>
        <v>2.4699999999999989</v>
      </c>
      <c r="Y7">
        <f t="shared" si="2"/>
        <v>-1.3500000000000005</v>
      </c>
      <c r="Z7">
        <f t="shared" si="3"/>
        <v>-14.080000000000041</v>
      </c>
      <c r="AB7">
        <f t="shared" si="4"/>
        <v>5.9300000000000068</v>
      </c>
      <c r="AC7">
        <f t="shared" si="5"/>
        <v>-3.1900000000000004</v>
      </c>
      <c r="AD7">
        <f t="shared" si="6"/>
        <v>-14.080000000000041</v>
      </c>
      <c r="AF7">
        <f t="shared" si="8"/>
        <v>-151</v>
      </c>
      <c r="AG7">
        <f t="shared" si="9"/>
        <v>14</v>
      </c>
      <c r="AH7">
        <f t="shared" si="7"/>
        <v>151.64761785138597</v>
      </c>
    </row>
    <row r="8" spans="1:34" x14ac:dyDescent="0.25">
      <c r="A8">
        <v>7</v>
      </c>
      <c r="C8">
        <v>572</v>
      </c>
      <c r="D8">
        <v>374</v>
      </c>
      <c r="F8">
        <v>-81.12</v>
      </c>
      <c r="G8">
        <v>6.17</v>
      </c>
      <c r="H8">
        <v>780</v>
      </c>
      <c r="J8">
        <v>-84</v>
      </c>
      <c r="K8">
        <v>8</v>
      </c>
      <c r="L8">
        <v>780</v>
      </c>
      <c r="N8">
        <v>-80.400000000000006</v>
      </c>
      <c r="O8">
        <v>5.67</v>
      </c>
      <c r="P8">
        <v>763.03</v>
      </c>
      <c r="R8">
        <f t="shared" si="0"/>
        <v>767.27510698575384</v>
      </c>
      <c r="T8">
        <v>102.72</v>
      </c>
      <c r="U8">
        <v>656.25</v>
      </c>
      <c r="V8">
        <v>49.54</v>
      </c>
      <c r="X8">
        <f t="shared" si="1"/>
        <v>0.71999999999999886</v>
      </c>
      <c r="Y8">
        <f t="shared" si="2"/>
        <v>-0.5</v>
      </c>
      <c r="Z8">
        <f t="shared" si="3"/>
        <v>-16.970000000000027</v>
      </c>
      <c r="AB8">
        <f t="shared" si="4"/>
        <v>3.5999999999999943</v>
      </c>
      <c r="AC8">
        <f t="shared" si="5"/>
        <v>-2.33</v>
      </c>
      <c r="AD8">
        <f t="shared" si="6"/>
        <v>-16.970000000000027</v>
      </c>
      <c r="AF8">
        <f t="shared" si="8"/>
        <v>-68</v>
      </c>
      <c r="AG8">
        <f t="shared" si="9"/>
        <v>14</v>
      </c>
      <c r="AH8">
        <f t="shared" si="7"/>
        <v>69.426219830839131</v>
      </c>
    </row>
    <row r="9" spans="1:34" x14ac:dyDescent="0.25">
      <c r="A9">
        <v>8</v>
      </c>
      <c r="C9">
        <v>651</v>
      </c>
      <c r="D9">
        <v>375</v>
      </c>
      <c r="F9">
        <v>18.690000000000001</v>
      </c>
      <c r="G9">
        <v>7.43</v>
      </c>
      <c r="H9">
        <v>779</v>
      </c>
      <c r="J9">
        <v>17</v>
      </c>
      <c r="K9">
        <v>9</v>
      </c>
      <c r="L9">
        <v>779</v>
      </c>
      <c r="N9">
        <v>18.11</v>
      </c>
      <c r="O9">
        <v>7.85</v>
      </c>
      <c r="P9">
        <v>761.34</v>
      </c>
      <c r="R9">
        <f t="shared" si="0"/>
        <v>761.59581813452724</v>
      </c>
      <c r="T9">
        <v>4.17</v>
      </c>
      <c r="U9">
        <v>656.89</v>
      </c>
      <c r="V9">
        <v>49.65</v>
      </c>
      <c r="X9">
        <f t="shared" si="1"/>
        <v>-0.58000000000000185</v>
      </c>
      <c r="Y9">
        <f t="shared" si="2"/>
        <v>0.41999999999999993</v>
      </c>
      <c r="Z9">
        <f t="shared" si="3"/>
        <v>-17.659999999999968</v>
      </c>
      <c r="AB9">
        <f t="shared" si="4"/>
        <v>1.1099999999999994</v>
      </c>
      <c r="AC9">
        <f t="shared" si="5"/>
        <v>-1.1500000000000004</v>
      </c>
      <c r="AD9">
        <f t="shared" si="6"/>
        <v>-17.659999999999968</v>
      </c>
      <c r="AF9">
        <f t="shared" si="8"/>
        <v>11</v>
      </c>
      <c r="AG9">
        <f t="shared" si="9"/>
        <v>15</v>
      </c>
      <c r="AH9">
        <f t="shared" si="7"/>
        <v>18.601075237738275</v>
      </c>
    </row>
    <row r="10" spans="1:34" x14ac:dyDescent="0.25">
      <c r="A10">
        <v>9</v>
      </c>
      <c r="C10">
        <v>733</v>
      </c>
      <c r="D10">
        <v>375</v>
      </c>
      <c r="F10">
        <v>121.56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118.55</v>
      </c>
      <c r="O10">
        <v>8.94</v>
      </c>
      <c r="P10">
        <v>760.02499999999998</v>
      </c>
      <c r="R10">
        <f t="shared" si="0"/>
        <v>769.2672011239008</v>
      </c>
      <c r="T10">
        <v>-96.29</v>
      </c>
      <c r="U10">
        <v>656.38</v>
      </c>
      <c r="V10">
        <v>50.09</v>
      </c>
      <c r="X10">
        <f t="shared" si="1"/>
        <v>-3.0100000000000051</v>
      </c>
      <c r="Y10">
        <f t="shared" si="2"/>
        <v>1.5499999999999998</v>
      </c>
      <c r="Z10">
        <f t="shared" si="3"/>
        <v>-14.975000000000023</v>
      </c>
      <c r="AB10">
        <f t="shared" si="4"/>
        <v>-2.4500000000000028</v>
      </c>
      <c r="AC10">
        <f t="shared" si="5"/>
        <v>-6.0000000000000497E-2</v>
      </c>
      <c r="AD10">
        <f t="shared" si="6"/>
        <v>-14.975000000000023</v>
      </c>
      <c r="AF10">
        <f t="shared" si="8"/>
        <v>93</v>
      </c>
      <c r="AG10">
        <f t="shared" si="9"/>
        <v>15</v>
      </c>
      <c r="AH10">
        <f t="shared" si="7"/>
        <v>94.201910808645493</v>
      </c>
    </row>
    <row r="11" spans="1:34" x14ac:dyDescent="0.25">
      <c r="A11">
        <v>10</v>
      </c>
      <c r="C11">
        <v>816</v>
      </c>
      <c r="D11">
        <v>376</v>
      </c>
      <c r="F11">
        <v>226.36</v>
      </c>
      <c r="G11">
        <v>8.68</v>
      </c>
      <c r="H11">
        <v>777</v>
      </c>
      <c r="J11">
        <v>226</v>
      </c>
      <c r="K11">
        <v>10</v>
      </c>
      <c r="L11">
        <v>777</v>
      </c>
      <c r="N11">
        <v>217.59</v>
      </c>
      <c r="O11">
        <v>10.029999999999999</v>
      </c>
      <c r="P11">
        <v>758.75</v>
      </c>
      <c r="R11">
        <f t="shared" si="0"/>
        <v>789.39696699442663</v>
      </c>
      <c r="T11">
        <v>-195.34</v>
      </c>
      <c r="U11">
        <v>655.88</v>
      </c>
      <c r="V11">
        <v>50.49</v>
      </c>
      <c r="X11">
        <f t="shared" si="1"/>
        <v>-8.7700000000000102</v>
      </c>
      <c r="Y11">
        <f t="shared" si="2"/>
        <v>1.3499999999999996</v>
      </c>
      <c r="Z11">
        <f t="shared" si="3"/>
        <v>-18.25</v>
      </c>
      <c r="AB11">
        <f t="shared" si="4"/>
        <v>-8.4099999999999966</v>
      </c>
      <c r="AC11">
        <f t="shared" si="5"/>
        <v>2.9999999999999361E-2</v>
      </c>
      <c r="AD11">
        <f t="shared" si="6"/>
        <v>-18.25</v>
      </c>
      <c r="AF11">
        <f t="shared" si="8"/>
        <v>176</v>
      </c>
      <c r="AG11">
        <f t="shared" si="9"/>
        <v>16</v>
      </c>
      <c r="AH11">
        <f t="shared" si="7"/>
        <v>176.72577627499618</v>
      </c>
    </row>
    <row r="12" spans="1:34" x14ac:dyDescent="0.25">
      <c r="A12">
        <v>11</v>
      </c>
      <c r="C12">
        <v>476</v>
      </c>
      <c r="D12">
        <v>446</v>
      </c>
      <c r="F12">
        <v>-188.17</v>
      </c>
      <c r="G12">
        <v>90.67</v>
      </c>
      <c r="H12">
        <v>725</v>
      </c>
      <c r="J12">
        <v>-191</v>
      </c>
      <c r="K12">
        <v>92</v>
      </c>
      <c r="L12">
        <v>725</v>
      </c>
      <c r="N12">
        <v>-185.99</v>
      </c>
      <c r="O12">
        <v>89.31</v>
      </c>
      <c r="P12">
        <v>704.78</v>
      </c>
      <c r="R12">
        <f t="shared" si="0"/>
        <v>734.35917955725176</v>
      </c>
      <c r="T12">
        <v>206.1</v>
      </c>
      <c r="U12">
        <v>760.42</v>
      </c>
      <c r="V12">
        <v>48.73</v>
      </c>
      <c r="X12">
        <f t="shared" si="1"/>
        <v>2.1799999999999784</v>
      </c>
      <c r="Y12">
        <f t="shared" si="2"/>
        <v>-1.3599999999999994</v>
      </c>
      <c r="Z12">
        <f t="shared" si="3"/>
        <v>-20.220000000000027</v>
      </c>
      <c r="AB12">
        <f t="shared" si="4"/>
        <v>5.0099999999999909</v>
      </c>
      <c r="AC12">
        <f t="shared" si="5"/>
        <v>-2.6899999999999977</v>
      </c>
      <c r="AD12">
        <f t="shared" si="6"/>
        <v>-20.220000000000027</v>
      </c>
      <c r="AF12">
        <f t="shared" si="8"/>
        <v>-164</v>
      </c>
      <c r="AG12">
        <f t="shared" si="9"/>
        <v>86</v>
      </c>
      <c r="AH12">
        <f t="shared" si="7"/>
        <v>185.18099254513137</v>
      </c>
    </row>
    <row r="13" spans="1:34" x14ac:dyDescent="0.25">
      <c r="A13">
        <v>12</v>
      </c>
      <c r="C13">
        <v>565</v>
      </c>
      <c r="D13">
        <v>447</v>
      </c>
      <c r="F13">
        <v>-83.27</v>
      </c>
      <c r="G13">
        <v>91.47</v>
      </c>
      <c r="H13">
        <v>722</v>
      </c>
      <c r="J13">
        <v>-86</v>
      </c>
      <c r="K13">
        <v>94</v>
      </c>
      <c r="L13">
        <v>722</v>
      </c>
      <c r="N13">
        <v>-80.81</v>
      </c>
      <c r="O13">
        <v>88.16</v>
      </c>
      <c r="P13">
        <v>705.23</v>
      </c>
      <c r="R13">
        <f t="shared" si="0"/>
        <v>715.29839549659278</v>
      </c>
      <c r="T13">
        <v>100.97</v>
      </c>
      <c r="U13">
        <v>756.96</v>
      </c>
      <c r="V13">
        <v>49.02</v>
      </c>
      <c r="X13">
        <f t="shared" si="1"/>
        <v>2.4599999999999937</v>
      </c>
      <c r="Y13">
        <f t="shared" si="2"/>
        <v>-3.3100000000000023</v>
      </c>
      <c r="Z13">
        <f t="shared" si="3"/>
        <v>-16.769999999999982</v>
      </c>
      <c r="AB13">
        <f t="shared" si="4"/>
        <v>5.1899999999999977</v>
      </c>
      <c r="AC13">
        <f t="shared" si="5"/>
        <v>-5.8400000000000034</v>
      </c>
      <c r="AD13">
        <f t="shared" si="6"/>
        <v>-16.769999999999982</v>
      </c>
      <c r="AF13">
        <f t="shared" si="8"/>
        <v>-75</v>
      </c>
      <c r="AG13">
        <f t="shared" si="9"/>
        <v>87</v>
      </c>
      <c r="AH13">
        <f t="shared" si="7"/>
        <v>114.86513831445988</v>
      </c>
    </row>
    <row r="14" spans="1:34" x14ac:dyDescent="0.25">
      <c r="A14">
        <v>13</v>
      </c>
      <c r="C14">
        <v>651</v>
      </c>
      <c r="D14">
        <v>448</v>
      </c>
      <c r="F14">
        <v>17.3</v>
      </c>
      <c r="G14">
        <v>92.51</v>
      </c>
      <c r="H14">
        <v>721</v>
      </c>
      <c r="J14">
        <v>16</v>
      </c>
      <c r="K14">
        <v>95</v>
      </c>
      <c r="L14">
        <v>721</v>
      </c>
      <c r="N14">
        <v>15.87</v>
      </c>
      <c r="O14">
        <v>89.41</v>
      </c>
      <c r="P14">
        <v>704.29</v>
      </c>
      <c r="R14">
        <f t="shared" si="0"/>
        <v>710.11999626823626</v>
      </c>
      <c r="T14">
        <v>4.2699999999999996</v>
      </c>
      <c r="U14">
        <v>756.45</v>
      </c>
      <c r="V14">
        <v>49.06</v>
      </c>
      <c r="X14">
        <f t="shared" si="1"/>
        <v>-1.4300000000000015</v>
      </c>
      <c r="Y14">
        <f t="shared" si="2"/>
        <v>-3.1000000000000085</v>
      </c>
      <c r="Z14">
        <f t="shared" si="3"/>
        <v>-16.710000000000036</v>
      </c>
      <c r="AB14">
        <f t="shared" si="4"/>
        <v>-0.13000000000000078</v>
      </c>
      <c r="AC14">
        <f t="shared" si="5"/>
        <v>-5.5900000000000034</v>
      </c>
      <c r="AD14">
        <f t="shared" si="6"/>
        <v>-16.710000000000036</v>
      </c>
      <c r="AF14">
        <f t="shared" si="8"/>
        <v>11</v>
      </c>
      <c r="AG14">
        <f t="shared" si="9"/>
        <v>88</v>
      </c>
      <c r="AH14">
        <f t="shared" si="7"/>
        <v>88.68483523128404</v>
      </c>
    </row>
    <row r="15" spans="1:34" x14ac:dyDescent="0.25">
      <c r="A15">
        <v>14</v>
      </c>
      <c r="C15">
        <v>738</v>
      </c>
      <c r="D15">
        <v>447</v>
      </c>
      <c r="F15">
        <v>118.6</v>
      </c>
      <c r="G15">
        <v>91.09</v>
      </c>
      <c r="H15">
        <v>719</v>
      </c>
      <c r="J15">
        <v>118</v>
      </c>
      <c r="K15">
        <v>93</v>
      </c>
      <c r="L15">
        <v>719</v>
      </c>
      <c r="N15">
        <v>116.43</v>
      </c>
      <c r="O15">
        <v>91.004999999999995</v>
      </c>
      <c r="P15">
        <v>702.41</v>
      </c>
      <c r="R15">
        <f t="shared" si="0"/>
        <v>717.78664171534979</v>
      </c>
      <c r="T15">
        <v>-96.32</v>
      </c>
      <c r="U15">
        <v>756.67</v>
      </c>
      <c r="V15">
        <v>49.67</v>
      </c>
      <c r="X15">
        <f t="shared" si="1"/>
        <v>-2.1699999999999875</v>
      </c>
      <c r="Y15">
        <f t="shared" si="2"/>
        <v>-8.5000000000007958E-2</v>
      </c>
      <c r="Z15">
        <f t="shared" si="3"/>
        <v>-16.590000000000032</v>
      </c>
      <c r="AB15">
        <f t="shared" si="4"/>
        <v>-1.5699999999999932</v>
      </c>
      <c r="AC15">
        <f t="shared" si="5"/>
        <v>-1.9950000000000045</v>
      </c>
      <c r="AD15">
        <f t="shared" si="6"/>
        <v>-16.590000000000032</v>
      </c>
      <c r="AF15">
        <f t="shared" si="8"/>
        <v>98</v>
      </c>
      <c r="AG15">
        <f t="shared" si="9"/>
        <v>87</v>
      </c>
      <c r="AH15">
        <f t="shared" si="7"/>
        <v>131.04579352272242</v>
      </c>
    </row>
    <row r="16" spans="1:34" x14ac:dyDescent="0.25">
      <c r="A16">
        <v>15</v>
      </c>
      <c r="C16">
        <v>828</v>
      </c>
      <c r="D16">
        <v>449</v>
      </c>
      <c r="F16">
        <v>222.82</v>
      </c>
      <c r="G16">
        <v>93.17</v>
      </c>
      <c r="H16">
        <v>717</v>
      </c>
      <c r="J16">
        <v>222</v>
      </c>
      <c r="K16">
        <v>95</v>
      </c>
      <c r="L16">
        <v>717</v>
      </c>
      <c r="N16">
        <v>214.83</v>
      </c>
      <c r="O16">
        <v>92.64</v>
      </c>
      <c r="P16">
        <v>701.10500000000002</v>
      </c>
      <c r="R16">
        <f t="shared" si="0"/>
        <v>739.10913911613898</v>
      </c>
      <c r="T16">
        <v>-194.71</v>
      </c>
      <c r="U16">
        <v>756.65</v>
      </c>
      <c r="V16">
        <v>49.78</v>
      </c>
      <c r="X16">
        <f t="shared" si="1"/>
        <v>-7.9899999999999807</v>
      </c>
      <c r="Y16">
        <f t="shared" si="2"/>
        <v>-0.53000000000000114</v>
      </c>
      <c r="Z16">
        <f t="shared" si="3"/>
        <v>-15.894999999999982</v>
      </c>
      <c r="AB16">
        <f t="shared" si="4"/>
        <v>-7.1699999999999875</v>
      </c>
      <c r="AC16">
        <f t="shared" si="5"/>
        <v>-2.3599999999999994</v>
      </c>
      <c r="AD16">
        <f t="shared" si="6"/>
        <v>-15.894999999999982</v>
      </c>
      <c r="AF16">
        <f t="shared" si="8"/>
        <v>188</v>
      </c>
      <c r="AG16">
        <f t="shared" si="9"/>
        <v>89</v>
      </c>
      <c r="AH16">
        <f t="shared" si="7"/>
        <v>208.00240383226344</v>
      </c>
    </row>
  </sheetData>
  <sortState ref="A37:U52">
    <sortCondition ref="T37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G1" workbookViewId="0">
      <selection activeCell="AE7" sqref="AE7"/>
    </sheetView>
  </sheetViews>
  <sheetFormatPr defaultRowHeight="15" x14ac:dyDescent="0.25"/>
  <sheetData>
    <row r="1" spans="1:34" x14ac:dyDescent="0.25">
      <c r="A1" s="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-188.66</v>
      </c>
      <c r="G2">
        <v>-79.47</v>
      </c>
      <c r="H2">
        <v>855</v>
      </c>
      <c r="J2">
        <v>-192</v>
      </c>
      <c r="K2">
        <v>-78</v>
      </c>
      <c r="L2">
        <v>855</v>
      </c>
      <c r="N2">
        <v>-180.89</v>
      </c>
      <c r="O2">
        <v>-76.900000000000006</v>
      </c>
      <c r="P2">
        <v>821.22</v>
      </c>
      <c r="R2">
        <f t="shared" ref="R2:R16" si="0" xml:space="preserve"> (N2^2+O2^2+P2^2)^0.5</f>
        <v>844.41523582891375</v>
      </c>
      <c r="T2" s="4">
        <v>205.36</v>
      </c>
      <c r="U2" s="4">
        <v>557.41</v>
      </c>
      <c r="V2" s="4">
        <v>49.79</v>
      </c>
      <c r="X2">
        <f t="shared" ref="X2:Z16" si="1">N2-F2</f>
        <v>7.7700000000000102</v>
      </c>
      <c r="Y2">
        <f t="shared" si="1"/>
        <v>2.5699999999999932</v>
      </c>
      <c r="Z2" s="9">
        <f t="shared" si="1"/>
        <v>-33.779999999999973</v>
      </c>
      <c r="AB2">
        <f t="shared" ref="AB2:AD16" si="2">N2-J2</f>
        <v>11.110000000000014</v>
      </c>
      <c r="AC2">
        <f t="shared" si="2"/>
        <v>1.0999999999999943</v>
      </c>
      <c r="AD2">
        <f t="shared" si="2"/>
        <v>-33.779999999999973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-83.38</v>
      </c>
      <c r="G3">
        <v>-79.47</v>
      </c>
      <c r="H3">
        <v>855</v>
      </c>
      <c r="J3">
        <v>-86</v>
      </c>
      <c r="K3">
        <v>-78</v>
      </c>
      <c r="L3">
        <v>855</v>
      </c>
      <c r="N3">
        <v>-80.08</v>
      </c>
      <c r="O3">
        <v>-75.37</v>
      </c>
      <c r="P3">
        <v>819.87</v>
      </c>
      <c r="R3">
        <f t="shared" si="0"/>
        <v>827.21234287213099</v>
      </c>
      <c r="T3" s="4">
        <v>104.53</v>
      </c>
      <c r="U3" s="4">
        <v>557.27</v>
      </c>
      <c r="V3" s="4">
        <v>50</v>
      </c>
      <c r="X3">
        <f t="shared" si="1"/>
        <v>3.2999999999999972</v>
      </c>
      <c r="Y3">
        <f t="shared" si="1"/>
        <v>4.0999999999999943</v>
      </c>
      <c r="Z3" s="9">
        <f t="shared" si="1"/>
        <v>-35.129999999999995</v>
      </c>
      <c r="AB3">
        <f t="shared" si="2"/>
        <v>5.9200000000000017</v>
      </c>
      <c r="AC3">
        <f t="shared" si="2"/>
        <v>2.6299999999999955</v>
      </c>
      <c r="AD3">
        <f t="shared" si="2"/>
        <v>-35.129999999999995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652</v>
      </c>
      <c r="D4">
        <v>313</v>
      </c>
      <c r="F4">
        <v>21.95</v>
      </c>
      <c r="G4">
        <v>-78.260000000000005</v>
      </c>
      <c r="H4">
        <v>857</v>
      </c>
      <c r="J4">
        <v>20</v>
      </c>
      <c r="K4">
        <v>-77</v>
      </c>
      <c r="L4">
        <v>857</v>
      </c>
      <c r="N4">
        <v>20.149999999999999</v>
      </c>
      <c r="O4">
        <v>-74.02</v>
      </c>
      <c r="P4">
        <v>818.29</v>
      </c>
      <c r="R4">
        <f t="shared" si="0"/>
        <v>821.87803657233712</v>
      </c>
      <c r="T4" s="4">
        <v>4.2699999999999996</v>
      </c>
      <c r="U4" s="4">
        <v>557.14</v>
      </c>
      <c r="V4" s="4">
        <v>50.5</v>
      </c>
      <c r="X4">
        <f t="shared" si="1"/>
        <v>-1.8000000000000007</v>
      </c>
      <c r="Y4">
        <f t="shared" si="1"/>
        <v>4.2400000000000091</v>
      </c>
      <c r="Z4" s="9">
        <f t="shared" si="1"/>
        <v>-38.710000000000036</v>
      </c>
      <c r="AB4">
        <f t="shared" si="2"/>
        <v>0.14999999999999858</v>
      </c>
      <c r="AC4">
        <f t="shared" si="2"/>
        <v>2.980000000000004</v>
      </c>
      <c r="AD4">
        <f t="shared" si="2"/>
        <v>-38.710000000000036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727</v>
      </c>
      <c r="D5">
        <v>314</v>
      </c>
      <c r="F5">
        <v>124.76</v>
      </c>
      <c r="G5">
        <v>-76.06</v>
      </c>
      <c r="H5">
        <v>848</v>
      </c>
      <c r="J5">
        <v>124</v>
      </c>
      <c r="K5">
        <v>-75</v>
      </c>
      <c r="L5">
        <v>848</v>
      </c>
      <c r="N5">
        <v>119.06</v>
      </c>
      <c r="O5">
        <v>-71.64</v>
      </c>
      <c r="P5">
        <v>815.95</v>
      </c>
      <c r="R5">
        <f t="shared" si="0"/>
        <v>827.69678971227142</v>
      </c>
      <c r="T5" s="4">
        <v>-94.69</v>
      </c>
      <c r="U5" s="4">
        <v>558.29999999999995</v>
      </c>
      <c r="V5" s="4">
        <v>51.03</v>
      </c>
      <c r="X5">
        <f t="shared" si="1"/>
        <v>-5.7000000000000028</v>
      </c>
      <c r="Y5">
        <f t="shared" si="1"/>
        <v>4.4200000000000017</v>
      </c>
      <c r="Z5" s="9">
        <f t="shared" si="1"/>
        <v>-32.049999999999955</v>
      </c>
      <c r="AB5">
        <f t="shared" si="2"/>
        <v>-4.9399999999999977</v>
      </c>
      <c r="AC5">
        <f t="shared" si="2"/>
        <v>3.3599999999999994</v>
      </c>
      <c r="AD5">
        <f t="shared" si="2"/>
        <v>-32.049999999999955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230.56</v>
      </c>
      <c r="G6">
        <v>-76.06</v>
      </c>
      <c r="H6">
        <v>848</v>
      </c>
      <c r="J6">
        <v>230</v>
      </c>
      <c r="K6">
        <v>-74</v>
      </c>
      <c r="L6">
        <v>848</v>
      </c>
      <c r="N6">
        <v>219.47</v>
      </c>
      <c r="O6">
        <v>-70.08</v>
      </c>
      <c r="P6">
        <v>815.05</v>
      </c>
      <c r="R6">
        <f t="shared" si="0"/>
        <v>846.98570814388597</v>
      </c>
      <c r="T6" s="4">
        <v>-195.11</v>
      </c>
      <c r="U6" s="4">
        <v>557.94000000000005</v>
      </c>
      <c r="V6" s="4">
        <v>50.85</v>
      </c>
      <c r="X6">
        <f t="shared" si="1"/>
        <v>-11.090000000000003</v>
      </c>
      <c r="Y6">
        <f t="shared" si="1"/>
        <v>5.980000000000004</v>
      </c>
      <c r="Z6" s="9">
        <f t="shared" si="1"/>
        <v>-32.950000000000045</v>
      </c>
      <c r="AB6">
        <f t="shared" si="2"/>
        <v>-10.530000000000001</v>
      </c>
      <c r="AC6">
        <f t="shared" si="2"/>
        <v>3.9200000000000017</v>
      </c>
      <c r="AD6">
        <f t="shared" si="2"/>
        <v>-32.950000000000045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>
        <v>490</v>
      </c>
      <c r="D7">
        <v>374</v>
      </c>
      <c r="F7">
        <v>-189.01</v>
      </c>
      <c r="G7">
        <v>6.32</v>
      </c>
      <c r="H7">
        <v>798</v>
      </c>
      <c r="J7">
        <v>-192</v>
      </c>
      <c r="K7">
        <v>8</v>
      </c>
      <c r="L7">
        <v>798</v>
      </c>
      <c r="N7">
        <v>-181.34</v>
      </c>
      <c r="O7">
        <v>3.54</v>
      </c>
      <c r="P7">
        <v>764.61</v>
      </c>
      <c r="R7">
        <f t="shared" si="0"/>
        <v>785.82770331670031</v>
      </c>
      <c r="T7" s="3">
        <v>203.69</v>
      </c>
      <c r="U7" s="3">
        <v>655.77</v>
      </c>
      <c r="V7" s="3">
        <v>49.48</v>
      </c>
      <c r="X7">
        <f t="shared" si="1"/>
        <v>7.6699999999999875</v>
      </c>
      <c r="Y7">
        <f t="shared" si="1"/>
        <v>-2.7800000000000002</v>
      </c>
      <c r="Z7" s="9">
        <f t="shared" si="1"/>
        <v>-33.389999999999986</v>
      </c>
      <c r="AB7">
        <f t="shared" si="2"/>
        <v>10.659999999999997</v>
      </c>
      <c r="AC7">
        <f t="shared" si="2"/>
        <v>-4.46</v>
      </c>
      <c r="AD7">
        <f t="shared" si="2"/>
        <v>-33.389999999999986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572</v>
      </c>
      <c r="D8">
        <v>375</v>
      </c>
      <c r="F8">
        <v>-83.09</v>
      </c>
      <c r="G8">
        <v>7.62</v>
      </c>
      <c r="H8">
        <v>799</v>
      </c>
      <c r="J8">
        <v>-86</v>
      </c>
      <c r="K8">
        <v>9</v>
      </c>
      <c r="L8">
        <v>799</v>
      </c>
      <c r="N8">
        <v>-80.75</v>
      </c>
      <c r="O8">
        <v>5.46</v>
      </c>
      <c r="P8">
        <v>763.22</v>
      </c>
      <c r="R8">
        <f t="shared" si="0"/>
        <v>767.49927850128961</v>
      </c>
      <c r="T8" s="3">
        <v>103.08</v>
      </c>
      <c r="U8" s="3">
        <v>655.98</v>
      </c>
      <c r="V8" s="3">
        <v>49.5</v>
      </c>
      <c r="X8">
        <f t="shared" si="1"/>
        <v>2.3400000000000034</v>
      </c>
      <c r="Y8">
        <f t="shared" si="1"/>
        <v>-2.16</v>
      </c>
      <c r="Z8" s="9">
        <f t="shared" si="1"/>
        <v>-35.779999999999973</v>
      </c>
      <c r="AB8">
        <f t="shared" si="2"/>
        <v>5.25</v>
      </c>
      <c r="AC8">
        <f t="shared" si="2"/>
        <v>-3.54</v>
      </c>
      <c r="AD8">
        <f t="shared" si="2"/>
        <v>-35.779999999999973</v>
      </c>
      <c r="AF8" s="10">
        <f t="shared" si="4"/>
        <v>-68</v>
      </c>
      <c r="AG8" s="10">
        <f t="shared" si="5"/>
        <v>15</v>
      </c>
      <c r="AH8">
        <f t="shared" si="3"/>
        <v>69.634761434214738</v>
      </c>
    </row>
    <row r="9" spans="1:34" x14ac:dyDescent="0.25">
      <c r="A9">
        <v>8</v>
      </c>
      <c r="C9">
        <v>652</v>
      </c>
      <c r="D9">
        <v>375</v>
      </c>
      <c r="F9">
        <v>20.56</v>
      </c>
      <c r="G9">
        <v>7.66</v>
      </c>
      <c r="H9">
        <v>803</v>
      </c>
      <c r="J9">
        <v>19</v>
      </c>
      <c r="K9">
        <v>9</v>
      </c>
      <c r="L9">
        <v>803</v>
      </c>
      <c r="N9">
        <v>18.18</v>
      </c>
      <c r="O9">
        <v>7.01</v>
      </c>
      <c r="P9">
        <v>761.69</v>
      </c>
      <c r="R9">
        <f t="shared" si="0"/>
        <v>761.93917644389444</v>
      </c>
      <c r="T9" s="3">
        <v>4.1100000000000003</v>
      </c>
      <c r="U9" s="3">
        <v>656</v>
      </c>
      <c r="V9" s="3">
        <v>49.85</v>
      </c>
      <c r="X9">
        <f t="shared" si="1"/>
        <v>-2.379999999999999</v>
      </c>
      <c r="Y9">
        <f t="shared" si="1"/>
        <v>-0.65000000000000036</v>
      </c>
      <c r="Z9" s="9">
        <f t="shared" si="1"/>
        <v>-41.309999999999945</v>
      </c>
      <c r="AB9">
        <f t="shared" si="2"/>
        <v>-0.82000000000000028</v>
      </c>
      <c r="AC9">
        <f t="shared" si="2"/>
        <v>-1.9900000000000002</v>
      </c>
      <c r="AD9">
        <f t="shared" si="2"/>
        <v>-41.309999999999945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734</v>
      </c>
      <c r="D10">
        <v>376</v>
      </c>
      <c r="F10">
        <v>126.46</v>
      </c>
      <c r="G10">
        <v>8.91</v>
      </c>
      <c r="H10">
        <v>798</v>
      </c>
      <c r="J10">
        <v>126</v>
      </c>
      <c r="K10">
        <v>11</v>
      </c>
      <c r="L10">
        <v>798</v>
      </c>
      <c r="N10">
        <v>117.83</v>
      </c>
      <c r="O10">
        <v>8.92</v>
      </c>
      <c r="P10">
        <v>759.9</v>
      </c>
      <c r="R10">
        <f t="shared" si="0"/>
        <v>769.03282459203263</v>
      </c>
      <c r="T10" s="3">
        <v>-95.57</v>
      </c>
      <c r="U10" s="3">
        <v>656.45</v>
      </c>
      <c r="V10" s="3">
        <v>50.2</v>
      </c>
      <c r="X10">
        <f t="shared" si="1"/>
        <v>-8.6299999999999955</v>
      </c>
      <c r="Y10">
        <f t="shared" si="1"/>
        <v>9.9999999999997868E-3</v>
      </c>
      <c r="Z10" s="9">
        <f t="shared" si="1"/>
        <v>-38.100000000000023</v>
      </c>
      <c r="AB10">
        <f t="shared" si="2"/>
        <v>-8.1700000000000017</v>
      </c>
      <c r="AC10">
        <f t="shared" si="2"/>
        <v>-2.08</v>
      </c>
      <c r="AD10">
        <f t="shared" si="2"/>
        <v>-38.100000000000023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>
        <v>816</v>
      </c>
      <c r="D11">
        <v>376</v>
      </c>
      <c r="F11">
        <v>231.32</v>
      </c>
      <c r="G11">
        <v>8.8699999999999992</v>
      </c>
      <c r="H11">
        <v>794</v>
      </c>
      <c r="J11">
        <v>231</v>
      </c>
      <c r="K11">
        <v>11</v>
      </c>
      <c r="L11">
        <v>794</v>
      </c>
      <c r="N11">
        <v>217.34</v>
      </c>
      <c r="O11">
        <v>10.35</v>
      </c>
      <c r="P11">
        <v>759.05</v>
      </c>
      <c r="R11">
        <f t="shared" si="0"/>
        <v>789.62060548088539</v>
      </c>
      <c r="T11" s="3">
        <v>-195.09</v>
      </c>
      <c r="U11" s="3">
        <v>655.97</v>
      </c>
      <c r="V11" s="3">
        <v>50.06</v>
      </c>
      <c r="X11">
        <f t="shared" si="1"/>
        <v>-13.97999999999999</v>
      </c>
      <c r="Y11">
        <f t="shared" si="1"/>
        <v>1.4800000000000004</v>
      </c>
      <c r="Z11" s="9">
        <f t="shared" si="1"/>
        <v>-34.950000000000045</v>
      </c>
      <c r="AB11">
        <f t="shared" si="2"/>
        <v>-13.659999999999997</v>
      </c>
      <c r="AC11">
        <f t="shared" si="2"/>
        <v>-0.65000000000000036</v>
      </c>
      <c r="AD11">
        <f t="shared" si="2"/>
        <v>-34.950000000000045</v>
      </c>
      <c r="AF11" s="10">
        <f t="shared" si="4"/>
        <v>176</v>
      </c>
      <c r="AG11" s="10">
        <f t="shared" si="5"/>
        <v>16</v>
      </c>
      <c r="AH11">
        <f t="shared" si="3"/>
        <v>176.72577627499618</v>
      </c>
    </row>
    <row r="12" spans="1:34" x14ac:dyDescent="0.25">
      <c r="A12">
        <v>11</v>
      </c>
      <c r="C12">
        <v>476</v>
      </c>
      <c r="D12">
        <v>445</v>
      </c>
      <c r="F12">
        <v>-192.84</v>
      </c>
      <c r="G12">
        <v>91.71</v>
      </c>
      <c r="H12">
        <v>743</v>
      </c>
      <c r="J12">
        <v>-195</v>
      </c>
      <c r="K12">
        <v>93</v>
      </c>
      <c r="L12">
        <v>743</v>
      </c>
      <c r="N12">
        <v>-185.27</v>
      </c>
      <c r="O12">
        <v>85.76</v>
      </c>
      <c r="P12">
        <v>707.31</v>
      </c>
      <c r="R12">
        <f t="shared" si="0"/>
        <v>736.18420697540091</v>
      </c>
      <c r="T12" s="5">
        <v>205.47</v>
      </c>
      <c r="U12" s="5">
        <v>756.04</v>
      </c>
      <c r="V12" s="5">
        <v>48.72</v>
      </c>
      <c r="X12">
        <f t="shared" si="1"/>
        <v>7.5699999999999932</v>
      </c>
      <c r="Y12">
        <f t="shared" si="1"/>
        <v>-5.9499999999999886</v>
      </c>
      <c r="Z12" s="9">
        <f t="shared" si="1"/>
        <v>-35.690000000000055</v>
      </c>
      <c r="AB12">
        <f t="shared" si="2"/>
        <v>9.7299999999999898</v>
      </c>
      <c r="AC12">
        <f t="shared" si="2"/>
        <v>-7.2399999999999949</v>
      </c>
      <c r="AD12">
        <f t="shared" si="2"/>
        <v>-35.690000000000055</v>
      </c>
      <c r="AF12" s="10">
        <f t="shared" si="4"/>
        <v>-164</v>
      </c>
      <c r="AG12" s="10">
        <f t="shared" si="5"/>
        <v>85</v>
      </c>
      <c r="AH12">
        <f t="shared" si="3"/>
        <v>184.71870506258969</v>
      </c>
    </row>
    <row r="13" spans="1:34" x14ac:dyDescent="0.25">
      <c r="A13">
        <v>12</v>
      </c>
      <c r="C13">
        <v>566</v>
      </c>
      <c r="D13">
        <v>448</v>
      </c>
      <c r="F13">
        <v>-84.38</v>
      </c>
      <c r="G13">
        <v>95.21</v>
      </c>
      <c r="H13">
        <v>742</v>
      </c>
      <c r="J13">
        <v>-87</v>
      </c>
      <c r="K13">
        <v>97</v>
      </c>
      <c r="L13">
        <v>742</v>
      </c>
      <c r="N13">
        <v>-82.02</v>
      </c>
      <c r="O13">
        <v>87.65</v>
      </c>
      <c r="P13">
        <v>705.66</v>
      </c>
      <c r="R13">
        <f t="shared" si="0"/>
        <v>715.79734457456595</v>
      </c>
      <c r="T13" s="5">
        <v>102.19</v>
      </c>
      <c r="U13" s="5">
        <v>756.32</v>
      </c>
      <c r="V13" s="5">
        <v>48.97</v>
      </c>
      <c r="X13">
        <f t="shared" si="1"/>
        <v>2.3599999999999994</v>
      </c>
      <c r="Y13">
        <f t="shared" si="1"/>
        <v>-7.5599999999999881</v>
      </c>
      <c r="Z13" s="9">
        <f t="shared" si="1"/>
        <v>-36.340000000000032</v>
      </c>
      <c r="AB13">
        <f t="shared" si="2"/>
        <v>4.980000000000004</v>
      </c>
      <c r="AC13">
        <f t="shared" si="2"/>
        <v>-9.3499999999999943</v>
      </c>
      <c r="AD13">
        <f t="shared" si="2"/>
        <v>-36.340000000000032</v>
      </c>
      <c r="AF13" s="10">
        <f t="shared" si="4"/>
        <v>-74</v>
      </c>
      <c r="AG13" s="10">
        <f t="shared" si="5"/>
        <v>88</v>
      </c>
      <c r="AH13">
        <f t="shared" si="3"/>
        <v>114.97825881443848</v>
      </c>
    </row>
    <row r="14" spans="1:34" x14ac:dyDescent="0.25">
      <c r="A14">
        <v>13</v>
      </c>
      <c r="C14">
        <v>652</v>
      </c>
      <c r="D14">
        <v>448</v>
      </c>
      <c r="F14">
        <v>18.98</v>
      </c>
      <c r="G14">
        <v>95.08</v>
      </c>
      <c r="H14">
        <v>741</v>
      </c>
      <c r="J14">
        <v>18</v>
      </c>
      <c r="K14">
        <v>97</v>
      </c>
      <c r="L14">
        <v>741</v>
      </c>
      <c r="N14">
        <v>15.71</v>
      </c>
      <c r="O14">
        <v>89.43</v>
      </c>
      <c r="P14">
        <v>704.1</v>
      </c>
      <c r="R14">
        <f t="shared" si="0"/>
        <v>709.93051702261687</v>
      </c>
      <c r="T14" s="5">
        <v>4.42</v>
      </c>
      <c r="U14" s="5">
        <v>756.57</v>
      </c>
      <c r="V14" s="5">
        <v>49.2</v>
      </c>
      <c r="X14">
        <f t="shared" si="1"/>
        <v>-3.2699999999999996</v>
      </c>
      <c r="Y14">
        <f t="shared" si="1"/>
        <v>-5.6499999999999915</v>
      </c>
      <c r="Z14" s="9">
        <f t="shared" si="1"/>
        <v>-36.899999999999977</v>
      </c>
      <c r="AB14">
        <f t="shared" si="2"/>
        <v>-2.2899999999999991</v>
      </c>
      <c r="AC14">
        <f t="shared" si="2"/>
        <v>-7.5699999999999932</v>
      </c>
      <c r="AD14">
        <f t="shared" si="2"/>
        <v>-36.899999999999977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740</v>
      </c>
      <c r="D15">
        <v>448</v>
      </c>
      <c r="F15">
        <v>123.96</v>
      </c>
      <c r="G15">
        <v>94.57</v>
      </c>
      <c r="H15">
        <v>737</v>
      </c>
      <c r="J15">
        <v>123</v>
      </c>
      <c r="K15">
        <v>97</v>
      </c>
      <c r="L15">
        <v>737</v>
      </c>
      <c r="N15">
        <v>116.2</v>
      </c>
      <c r="O15">
        <v>90.62</v>
      </c>
      <c r="P15">
        <v>703.07</v>
      </c>
      <c r="R15">
        <f t="shared" si="0"/>
        <v>718.34660805212968</v>
      </c>
      <c r="T15" s="5">
        <v>-96.08</v>
      </c>
      <c r="U15" s="5">
        <v>755.98</v>
      </c>
      <c r="V15" s="5">
        <v>49.35</v>
      </c>
      <c r="X15">
        <f t="shared" si="1"/>
        <v>-7.7599999999999909</v>
      </c>
      <c r="Y15">
        <f t="shared" si="1"/>
        <v>-3.9499999999999886</v>
      </c>
      <c r="Z15" s="9">
        <f t="shared" si="1"/>
        <v>-33.92999999999995</v>
      </c>
      <c r="AB15">
        <f t="shared" si="2"/>
        <v>-6.7999999999999972</v>
      </c>
      <c r="AC15">
        <f t="shared" si="2"/>
        <v>-6.3799999999999955</v>
      </c>
      <c r="AD15">
        <f t="shared" si="2"/>
        <v>-33.92999999999995</v>
      </c>
      <c r="AF15" s="10">
        <f t="shared" si="4"/>
        <v>100</v>
      </c>
      <c r="AG15" s="10">
        <f t="shared" si="5"/>
        <v>88</v>
      </c>
      <c r="AH15">
        <f t="shared" si="3"/>
        <v>133.2066064427737</v>
      </c>
    </row>
    <row r="16" spans="1:34" x14ac:dyDescent="0.25">
      <c r="A16">
        <v>15</v>
      </c>
      <c r="C16">
        <v>829</v>
      </c>
      <c r="D16">
        <v>449</v>
      </c>
      <c r="F16">
        <v>229.92</v>
      </c>
      <c r="G16">
        <v>95.63</v>
      </c>
      <c r="H16">
        <v>736</v>
      </c>
      <c r="J16">
        <v>229</v>
      </c>
      <c r="K16">
        <v>97</v>
      </c>
      <c r="L16">
        <v>736</v>
      </c>
      <c r="N16">
        <v>214.85</v>
      </c>
      <c r="O16">
        <v>92.73</v>
      </c>
      <c r="P16">
        <v>701.42</v>
      </c>
      <c r="R16">
        <f t="shared" si="0"/>
        <v>739.42504136660125</v>
      </c>
      <c r="T16" s="5">
        <v>-194.76</v>
      </c>
      <c r="U16" s="5">
        <v>756.54</v>
      </c>
      <c r="V16" s="5">
        <v>49.47</v>
      </c>
      <c r="X16">
        <f t="shared" si="1"/>
        <v>-15.069999999999993</v>
      </c>
      <c r="Y16">
        <f t="shared" si="1"/>
        <v>-2.8999999999999915</v>
      </c>
      <c r="Z16" s="9">
        <f t="shared" si="1"/>
        <v>-34.580000000000041</v>
      </c>
      <c r="AB16">
        <f t="shared" si="2"/>
        <v>-14.150000000000006</v>
      </c>
      <c r="AC16">
        <f t="shared" si="2"/>
        <v>-4.269999999999996</v>
      </c>
      <c r="AD16">
        <f t="shared" si="2"/>
        <v>-34.580000000000041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H1" workbookViewId="0">
      <selection activeCell="O32" sqref="O32"/>
    </sheetView>
  </sheetViews>
  <sheetFormatPr defaultRowHeight="15" x14ac:dyDescent="0.25"/>
  <sheetData>
    <row r="1" spans="1:34" x14ac:dyDescent="0.25">
      <c r="A1" s="6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-188.22</v>
      </c>
      <c r="G2">
        <v>-79.28</v>
      </c>
      <c r="H2">
        <v>853</v>
      </c>
      <c r="J2">
        <v>-191</v>
      </c>
      <c r="K2">
        <v>-78</v>
      </c>
      <c r="L2">
        <v>853</v>
      </c>
      <c r="N2">
        <v>-180.75</v>
      </c>
      <c r="O2">
        <v>-77.22</v>
      </c>
      <c r="P2">
        <v>820.93</v>
      </c>
      <c r="R2">
        <f t="shared" ref="R2:R16" si="0" xml:space="preserve"> (N2^2+O2^2+P2^2)^0.5</f>
        <v>844.13242788083903</v>
      </c>
      <c r="T2" s="4">
        <v>205.22</v>
      </c>
      <c r="U2" s="4">
        <v>557.32000000000005</v>
      </c>
      <c r="V2" s="4">
        <v>50.21</v>
      </c>
      <c r="X2">
        <f t="shared" ref="X2:Z16" si="1">N2-F2</f>
        <v>7.4699999999999989</v>
      </c>
      <c r="Y2">
        <f t="shared" si="1"/>
        <v>2.0600000000000023</v>
      </c>
      <c r="Z2" s="9">
        <f t="shared" si="1"/>
        <v>-32.07000000000005</v>
      </c>
      <c r="AB2">
        <f t="shared" ref="AB2:AD16" si="2">N2-J2</f>
        <v>10.25</v>
      </c>
      <c r="AC2">
        <f t="shared" si="2"/>
        <v>0.78000000000000114</v>
      </c>
      <c r="AD2">
        <f t="shared" si="2"/>
        <v>-32.07000000000005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313</v>
      </c>
      <c r="F3">
        <v>-81.8</v>
      </c>
      <c r="G3">
        <v>-77.900000000000006</v>
      </c>
      <c r="H3">
        <v>853</v>
      </c>
      <c r="J3">
        <v>-85</v>
      </c>
      <c r="K3">
        <v>-77</v>
      </c>
      <c r="L3">
        <v>853</v>
      </c>
      <c r="N3">
        <v>-79.260000000000005</v>
      </c>
      <c r="O3">
        <v>-75.14</v>
      </c>
      <c r="P3">
        <v>819.6</v>
      </c>
      <c r="R3">
        <f t="shared" si="0"/>
        <v>826.84480236619981</v>
      </c>
      <c r="T3" s="4">
        <v>103.7</v>
      </c>
      <c r="U3" s="4">
        <v>557.6</v>
      </c>
      <c r="V3" s="4">
        <v>50.09</v>
      </c>
      <c r="X3">
        <f t="shared" si="1"/>
        <v>2.539999999999992</v>
      </c>
      <c r="Y3">
        <f t="shared" si="1"/>
        <v>2.7600000000000051</v>
      </c>
      <c r="Z3" s="9">
        <f t="shared" si="1"/>
        <v>-33.399999999999977</v>
      </c>
      <c r="AB3">
        <f t="shared" si="2"/>
        <v>5.7399999999999949</v>
      </c>
      <c r="AC3">
        <f t="shared" si="2"/>
        <v>1.8599999999999994</v>
      </c>
      <c r="AD3">
        <f t="shared" si="2"/>
        <v>-33.399999999999977</v>
      </c>
      <c r="AF3" s="10">
        <f t="shared" ref="AF3:AF16" si="4">C3-640</f>
        <v>-63</v>
      </c>
      <c r="AG3" s="10">
        <f t="shared" ref="AG3:AG16" si="5">D3-360</f>
        <v>-47</v>
      </c>
      <c r="AH3">
        <f t="shared" si="3"/>
        <v>78.600254452514335</v>
      </c>
    </row>
    <row r="4" spans="1:34" x14ac:dyDescent="0.25">
      <c r="A4">
        <v>3</v>
      </c>
      <c r="C4">
        <v>652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19.61</v>
      </c>
      <c r="O4">
        <v>-74.16</v>
      </c>
      <c r="P4">
        <v>818.36</v>
      </c>
      <c r="R4">
        <f t="shared" si="0"/>
        <v>821.94728985501251</v>
      </c>
      <c r="T4" s="4">
        <v>4.8099999999999996</v>
      </c>
      <c r="U4" s="4">
        <v>556.99</v>
      </c>
      <c r="V4" s="4">
        <v>50.53</v>
      </c>
      <c r="X4">
        <f t="shared" si="1"/>
        <v>-2.0800000000000018</v>
      </c>
      <c r="Y4">
        <f t="shared" si="1"/>
        <v>3.1899999999999977</v>
      </c>
      <c r="Z4" s="9">
        <f t="shared" si="1"/>
        <v>-28.639999999999986</v>
      </c>
      <c r="AB4">
        <f t="shared" si="2"/>
        <v>-0.39000000000000057</v>
      </c>
      <c r="AC4">
        <f t="shared" si="2"/>
        <v>1.8400000000000034</v>
      </c>
      <c r="AD4">
        <f t="shared" si="2"/>
        <v>-28.639999999999986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728</v>
      </c>
      <c r="D5">
        <v>313</v>
      </c>
      <c r="F5">
        <v>125.69</v>
      </c>
      <c r="G5">
        <v>-77.17</v>
      </c>
      <c r="H5">
        <v>845</v>
      </c>
      <c r="J5">
        <v>125</v>
      </c>
      <c r="K5">
        <v>-76</v>
      </c>
      <c r="L5">
        <v>845</v>
      </c>
      <c r="N5">
        <v>120.75</v>
      </c>
      <c r="O5">
        <v>-72.78</v>
      </c>
      <c r="P5">
        <v>817.14</v>
      </c>
      <c r="R5">
        <f t="shared" si="0"/>
        <v>829.21364587179824</v>
      </c>
      <c r="T5" s="4">
        <v>-96.34</v>
      </c>
      <c r="U5" s="4">
        <v>556.65</v>
      </c>
      <c r="V5" s="4">
        <v>50.72</v>
      </c>
      <c r="X5">
        <f t="shared" si="1"/>
        <v>-4.9399999999999977</v>
      </c>
      <c r="Y5">
        <f t="shared" si="1"/>
        <v>4.3900000000000006</v>
      </c>
      <c r="Z5" s="9">
        <f t="shared" si="1"/>
        <v>-27.860000000000014</v>
      </c>
      <c r="AB5">
        <f t="shared" si="2"/>
        <v>-4.25</v>
      </c>
      <c r="AC5">
        <f t="shared" si="2"/>
        <v>3.2199999999999989</v>
      </c>
      <c r="AD5">
        <f t="shared" si="2"/>
        <v>-27.860000000000014</v>
      </c>
      <c r="AF5" s="10">
        <f t="shared" si="4"/>
        <v>88</v>
      </c>
      <c r="AG5" s="10">
        <f t="shared" si="5"/>
        <v>-47</v>
      </c>
      <c r="AH5">
        <f t="shared" si="3"/>
        <v>99.76472322419383</v>
      </c>
    </row>
    <row r="6" spans="1:34" x14ac:dyDescent="0.25">
      <c r="A6">
        <v>5</v>
      </c>
      <c r="C6">
        <v>805</v>
      </c>
      <c r="D6">
        <v>314</v>
      </c>
      <c r="F6">
        <v>230.84</v>
      </c>
      <c r="G6">
        <v>-75.7</v>
      </c>
      <c r="H6">
        <v>844</v>
      </c>
      <c r="J6">
        <v>230</v>
      </c>
      <c r="K6">
        <v>-74</v>
      </c>
      <c r="L6">
        <v>844</v>
      </c>
      <c r="N6">
        <v>220.21</v>
      </c>
      <c r="O6">
        <v>-70.33</v>
      </c>
      <c r="P6">
        <v>814.72</v>
      </c>
      <c r="R6">
        <f t="shared" si="0"/>
        <v>846.88100191231126</v>
      </c>
      <c r="T6" s="4">
        <v>-195.85</v>
      </c>
      <c r="U6" s="4">
        <v>557.91</v>
      </c>
      <c r="V6" s="4">
        <v>51.27</v>
      </c>
      <c r="X6">
        <f t="shared" si="1"/>
        <v>-10.629999999999995</v>
      </c>
      <c r="Y6">
        <f t="shared" si="1"/>
        <v>5.3700000000000045</v>
      </c>
      <c r="Z6" s="9">
        <f t="shared" si="1"/>
        <v>-29.279999999999973</v>
      </c>
      <c r="AB6">
        <f t="shared" si="2"/>
        <v>-9.789999999999992</v>
      </c>
      <c r="AC6">
        <f t="shared" si="2"/>
        <v>3.6700000000000017</v>
      </c>
      <c r="AD6">
        <f t="shared" si="2"/>
        <v>-29.279999999999973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>
        <v>490</v>
      </c>
      <c r="D7">
        <v>374</v>
      </c>
      <c r="F7">
        <v>-188.3</v>
      </c>
      <c r="G7">
        <v>6.29</v>
      </c>
      <c r="H7">
        <v>795</v>
      </c>
      <c r="J7">
        <v>-191</v>
      </c>
      <c r="K7">
        <v>8</v>
      </c>
      <c r="L7">
        <v>795</v>
      </c>
      <c r="N7">
        <v>-182.84</v>
      </c>
      <c r="O7">
        <v>4.3600000000000003</v>
      </c>
      <c r="P7">
        <v>764.38</v>
      </c>
      <c r="R7">
        <f t="shared" si="0"/>
        <v>785.95563462577195</v>
      </c>
      <c r="T7" s="3">
        <v>205.18</v>
      </c>
      <c r="U7" s="3">
        <v>656.61</v>
      </c>
      <c r="V7" s="3">
        <v>49.2</v>
      </c>
      <c r="X7">
        <f t="shared" si="1"/>
        <v>5.460000000000008</v>
      </c>
      <c r="Y7">
        <f t="shared" si="1"/>
        <v>-1.9299999999999997</v>
      </c>
      <c r="Z7" s="9">
        <f t="shared" si="1"/>
        <v>-30.620000000000005</v>
      </c>
      <c r="AB7">
        <f t="shared" si="2"/>
        <v>8.1599999999999966</v>
      </c>
      <c r="AC7">
        <f t="shared" si="2"/>
        <v>-3.6399999999999997</v>
      </c>
      <c r="AD7">
        <f t="shared" si="2"/>
        <v>-30.620000000000005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571</v>
      </c>
      <c r="D8">
        <v>375</v>
      </c>
      <c r="F8">
        <v>-83.75</v>
      </c>
      <c r="G8">
        <v>7.57</v>
      </c>
      <c r="H8">
        <v>793</v>
      </c>
      <c r="J8">
        <v>-87</v>
      </c>
      <c r="K8">
        <v>9</v>
      </c>
      <c r="L8">
        <v>793</v>
      </c>
      <c r="N8">
        <v>-81.489999999999995</v>
      </c>
      <c r="O8">
        <v>5.73</v>
      </c>
      <c r="P8">
        <v>763.2</v>
      </c>
      <c r="R8">
        <f t="shared" si="0"/>
        <v>767.55956967521422</v>
      </c>
      <c r="T8" s="3">
        <v>103.81</v>
      </c>
      <c r="U8" s="3">
        <v>656.23</v>
      </c>
      <c r="V8" s="3">
        <v>49.36</v>
      </c>
      <c r="X8">
        <f t="shared" si="1"/>
        <v>2.2600000000000051</v>
      </c>
      <c r="Y8">
        <f t="shared" si="1"/>
        <v>-1.8399999999999999</v>
      </c>
      <c r="Z8" s="9">
        <f t="shared" si="1"/>
        <v>-29.799999999999955</v>
      </c>
      <c r="AB8">
        <f t="shared" si="2"/>
        <v>5.5100000000000051</v>
      </c>
      <c r="AC8">
        <f t="shared" si="2"/>
        <v>-3.2699999999999996</v>
      </c>
      <c r="AD8">
        <f t="shared" si="2"/>
        <v>-29.799999999999955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>
        <v>652</v>
      </c>
      <c r="D9">
        <v>376</v>
      </c>
      <c r="F9">
        <v>20.36</v>
      </c>
      <c r="G9">
        <v>8.8800000000000008</v>
      </c>
      <c r="H9">
        <v>795</v>
      </c>
      <c r="J9">
        <v>19</v>
      </c>
      <c r="K9">
        <v>11</v>
      </c>
      <c r="L9">
        <v>795</v>
      </c>
      <c r="N9">
        <v>17.829999999999998</v>
      </c>
      <c r="O9">
        <v>8.06</v>
      </c>
      <c r="P9">
        <v>761.03</v>
      </c>
      <c r="R9">
        <f t="shared" si="0"/>
        <v>761.28150732826816</v>
      </c>
      <c r="T9" s="3">
        <v>4.4400000000000004</v>
      </c>
      <c r="U9" s="3">
        <v>657.25</v>
      </c>
      <c r="V9" s="3">
        <v>49.78</v>
      </c>
      <c r="X9">
        <f t="shared" si="1"/>
        <v>-2.5300000000000011</v>
      </c>
      <c r="Y9">
        <f t="shared" si="1"/>
        <v>-0.82000000000000028</v>
      </c>
      <c r="Z9" s="9">
        <f t="shared" si="1"/>
        <v>-33.970000000000027</v>
      </c>
      <c r="AB9">
        <f t="shared" si="2"/>
        <v>-1.1700000000000017</v>
      </c>
      <c r="AC9">
        <f t="shared" si="2"/>
        <v>-2.9399999999999995</v>
      </c>
      <c r="AD9">
        <f t="shared" si="2"/>
        <v>-33.970000000000027</v>
      </c>
      <c r="AF9" s="10">
        <f t="shared" si="4"/>
        <v>12</v>
      </c>
      <c r="AG9" s="10">
        <f t="shared" si="5"/>
        <v>16</v>
      </c>
      <c r="AH9">
        <f t="shared" si="3"/>
        <v>20</v>
      </c>
    </row>
    <row r="10" spans="1:34" x14ac:dyDescent="0.25">
      <c r="A10">
        <v>9</v>
      </c>
      <c r="C10">
        <v>734</v>
      </c>
      <c r="D10">
        <v>376</v>
      </c>
      <c r="F10">
        <v>125.35</v>
      </c>
      <c r="G10">
        <v>8.83</v>
      </c>
      <c r="H10">
        <v>791</v>
      </c>
      <c r="J10">
        <v>125</v>
      </c>
      <c r="K10">
        <v>11</v>
      </c>
      <c r="L10">
        <v>791</v>
      </c>
      <c r="N10">
        <v>118.95</v>
      </c>
      <c r="O10">
        <v>8.99</v>
      </c>
      <c r="P10">
        <v>759.79</v>
      </c>
      <c r="R10">
        <f t="shared" si="0"/>
        <v>769.09737140364746</v>
      </c>
      <c r="T10" s="3">
        <v>-96.69</v>
      </c>
      <c r="U10" s="3">
        <v>656.55</v>
      </c>
      <c r="V10" s="3">
        <v>50.25</v>
      </c>
      <c r="X10">
        <f t="shared" si="1"/>
        <v>-6.3999999999999915</v>
      </c>
      <c r="Y10">
        <f t="shared" si="1"/>
        <v>0.16000000000000014</v>
      </c>
      <c r="Z10" s="9">
        <f t="shared" si="1"/>
        <v>-31.210000000000036</v>
      </c>
      <c r="AB10">
        <f t="shared" si="2"/>
        <v>-6.0499999999999972</v>
      </c>
      <c r="AC10">
        <f t="shared" si="2"/>
        <v>-2.0099999999999998</v>
      </c>
      <c r="AD10">
        <f t="shared" si="2"/>
        <v>-31.210000000000036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>
        <v>815</v>
      </c>
      <c r="D11">
        <v>376</v>
      </c>
      <c r="F11">
        <v>228.29</v>
      </c>
      <c r="G11">
        <v>8.8000000000000007</v>
      </c>
      <c r="H11">
        <v>788</v>
      </c>
      <c r="J11">
        <v>228</v>
      </c>
      <c r="K11">
        <v>10</v>
      </c>
      <c r="L11">
        <v>788</v>
      </c>
      <c r="N11">
        <v>217.55</v>
      </c>
      <c r="O11">
        <v>9.77</v>
      </c>
      <c r="P11">
        <v>759.41</v>
      </c>
      <c r="R11">
        <f t="shared" si="0"/>
        <v>790.0170906379177</v>
      </c>
      <c r="T11" s="3">
        <v>-195.28</v>
      </c>
      <c r="U11" s="3">
        <v>655.29</v>
      </c>
      <c r="V11" s="3">
        <v>50.1</v>
      </c>
      <c r="X11">
        <f t="shared" si="1"/>
        <v>-10.739999999999981</v>
      </c>
      <c r="Y11">
        <f t="shared" si="1"/>
        <v>0.96999999999999886</v>
      </c>
      <c r="Z11" s="9">
        <f t="shared" si="1"/>
        <v>-28.590000000000032</v>
      </c>
      <c r="AB11">
        <f t="shared" si="2"/>
        <v>-10.449999999999989</v>
      </c>
      <c r="AC11">
        <f t="shared" si="2"/>
        <v>-0.23000000000000043</v>
      </c>
      <c r="AD11">
        <f t="shared" si="2"/>
        <v>-28.590000000000032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-191.95</v>
      </c>
      <c r="G12">
        <v>93.11</v>
      </c>
      <c r="H12">
        <v>735</v>
      </c>
      <c r="J12">
        <v>-194</v>
      </c>
      <c r="K12">
        <v>95</v>
      </c>
      <c r="L12">
        <v>735</v>
      </c>
      <c r="N12">
        <v>-185.38</v>
      </c>
      <c r="O12">
        <v>86.32</v>
      </c>
      <c r="P12">
        <v>706.67</v>
      </c>
      <c r="R12">
        <f t="shared" si="0"/>
        <v>735.66254199870741</v>
      </c>
      <c r="T12" s="5">
        <v>205.56</v>
      </c>
      <c r="U12" s="5">
        <v>756.87</v>
      </c>
      <c r="V12" s="5">
        <v>48.92</v>
      </c>
      <c r="X12">
        <f t="shared" si="1"/>
        <v>6.5699999999999932</v>
      </c>
      <c r="Y12">
        <f t="shared" si="1"/>
        <v>-6.7900000000000063</v>
      </c>
      <c r="Z12" s="9">
        <f t="shared" si="1"/>
        <v>-28.330000000000041</v>
      </c>
      <c r="AB12">
        <f t="shared" si="2"/>
        <v>8.6200000000000045</v>
      </c>
      <c r="AC12">
        <f t="shared" si="2"/>
        <v>-8.6800000000000068</v>
      </c>
      <c r="AD12">
        <f t="shared" si="2"/>
        <v>-28.330000000000041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-83.81</v>
      </c>
      <c r="G13">
        <v>93.37</v>
      </c>
      <c r="H13">
        <v>737</v>
      </c>
      <c r="J13">
        <v>-86</v>
      </c>
      <c r="K13">
        <v>96</v>
      </c>
      <c r="L13">
        <v>737</v>
      </c>
      <c r="N13">
        <v>-83.64</v>
      </c>
      <c r="O13">
        <v>87.64</v>
      </c>
      <c r="P13">
        <v>705.78</v>
      </c>
      <c r="R13">
        <f t="shared" si="0"/>
        <v>716.10182767536628</v>
      </c>
      <c r="T13" s="5">
        <v>102.6</v>
      </c>
      <c r="U13" s="5">
        <v>756.28</v>
      </c>
      <c r="V13" s="5">
        <v>48.87</v>
      </c>
      <c r="X13">
        <f t="shared" si="1"/>
        <v>0.17000000000000171</v>
      </c>
      <c r="Y13">
        <f t="shared" si="1"/>
        <v>-5.730000000000004</v>
      </c>
      <c r="Z13" s="9">
        <f t="shared" si="1"/>
        <v>-31.220000000000027</v>
      </c>
      <c r="AB13">
        <f t="shared" si="2"/>
        <v>2.3599999999999994</v>
      </c>
      <c r="AC13">
        <f t="shared" si="2"/>
        <v>-8.36</v>
      </c>
      <c r="AD13">
        <f t="shared" si="2"/>
        <v>-31.220000000000027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652</v>
      </c>
      <c r="D14">
        <v>449</v>
      </c>
      <c r="F14">
        <v>18.899999999999999</v>
      </c>
      <c r="G14">
        <v>95.89</v>
      </c>
      <c r="H14">
        <v>738</v>
      </c>
      <c r="J14">
        <v>17</v>
      </c>
      <c r="K14">
        <v>98</v>
      </c>
      <c r="L14">
        <v>738</v>
      </c>
      <c r="N14">
        <v>15.62</v>
      </c>
      <c r="O14">
        <v>90.08</v>
      </c>
      <c r="P14">
        <v>703.52</v>
      </c>
      <c r="R14">
        <f t="shared" si="0"/>
        <v>709.43553702926386</v>
      </c>
      <c r="T14" s="5">
        <v>4.5</v>
      </c>
      <c r="U14" s="5">
        <v>757.44</v>
      </c>
      <c r="V14" s="5">
        <v>49.3</v>
      </c>
      <c r="X14">
        <f t="shared" si="1"/>
        <v>-3.2799999999999994</v>
      </c>
      <c r="Y14">
        <f t="shared" si="1"/>
        <v>-5.8100000000000023</v>
      </c>
      <c r="Z14" s="9">
        <f t="shared" si="1"/>
        <v>-34.480000000000018</v>
      </c>
      <c r="AB14">
        <f t="shared" si="2"/>
        <v>-1.3800000000000008</v>
      </c>
      <c r="AC14">
        <f t="shared" si="2"/>
        <v>-7.9200000000000017</v>
      </c>
      <c r="AD14">
        <f t="shared" si="2"/>
        <v>-34.480000000000018</v>
      </c>
      <c r="AF14" s="10">
        <f t="shared" si="4"/>
        <v>12</v>
      </c>
      <c r="AG14" s="10">
        <f t="shared" si="5"/>
        <v>89</v>
      </c>
      <c r="AH14">
        <f t="shared" si="3"/>
        <v>89.805345052507874</v>
      </c>
    </row>
    <row r="15" spans="1:34" x14ac:dyDescent="0.25">
      <c r="A15">
        <v>14</v>
      </c>
      <c r="C15">
        <v>741</v>
      </c>
      <c r="D15">
        <v>450</v>
      </c>
      <c r="F15" s="7">
        <v>124.13</v>
      </c>
      <c r="G15">
        <v>96.17</v>
      </c>
      <c r="H15">
        <v>731</v>
      </c>
      <c r="J15">
        <v>124</v>
      </c>
      <c r="K15">
        <v>98</v>
      </c>
      <c r="L15">
        <v>731</v>
      </c>
      <c r="N15">
        <v>116.89</v>
      </c>
      <c r="O15">
        <v>92.23</v>
      </c>
      <c r="P15">
        <v>701.66</v>
      </c>
      <c r="R15">
        <f t="shared" si="0"/>
        <v>717.28404457369606</v>
      </c>
      <c r="T15" s="5">
        <v>-96.81</v>
      </c>
      <c r="U15" s="5">
        <v>758.09</v>
      </c>
      <c r="V15" s="5">
        <v>49.57</v>
      </c>
      <c r="X15">
        <f t="shared" si="1"/>
        <v>-7.2399999999999949</v>
      </c>
      <c r="Y15">
        <f t="shared" si="1"/>
        <v>-3.9399999999999977</v>
      </c>
      <c r="Z15" s="9">
        <f t="shared" si="1"/>
        <v>-29.340000000000032</v>
      </c>
      <c r="AB15">
        <f t="shared" si="2"/>
        <v>-7.1099999999999994</v>
      </c>
      <c r="AC15">
        <f t="shared" si="2"/>
        <v>-5.769999999999996</v>
      </c>
      <c r="AD15">
        <f t="shared" si="2"/>
        <v>-29.340000000000032</v>
      </c>
      <c r="AF15" s="10">
        <f t="shared" si="4"/>
        <v>101</v>
      </c>
      <c r="AG15" s="10">
        <f t="shared" si="5"/>
        <v>90</v>
      </c>
      <c r="AH15">
        <f t="shared" si="3"/>
        <v>135.28118864054971</v>
      </c>
    </row>
    <row r="16" spans="1:34" x14ac:dyDescent="0.25">
      <c r="A16">
        <v>15</v>
      </c>
      <c r="C16">
        <v>828</v>
      </c>
      <c r="D16">
        <v>450</v>
      </c>
      <c r="F16">
        <v>227.17</v>
      </c>
      <c r="G16">
        <v>96.17</v>
      </c>
      <c r="H16">
        <v>731</v>
      </c>
      <c r="J16">
        <v>226</v>
      </c>
      <c r="K16">
        <v>98</v>
      </c>
      <c r="L16">
        <v>731</v>
      </c>
      <c r="N16">
        <v>215.19</v>
      </c>
      <c r="O16">
        <v>92.57</v>
      </c>
      <c r="P16">
        <v>700.6</v>
      </c>
      <c r="R16">
        <f t="shared" si="0"/>
        <v>738.72613396305405</v>
      </c>
      <c r="T16" s="5">
        <v>-195.11</v>
      </c>
      <c r="U16" s="5">
        <v>756.87</v>
      </c>
      <c r="V16" s="5">
        <v>50.23</v>
      </c>
      <c r="X16">
        <f t="shared" si="1"/>
        <v>-11.97999999999999</v>
      </c>
      <c r="Y16">
        <f t="shared" si="1"/>
        <v>-3.6000000000000085</v>
      </c>
      <c r="Z16" s="9">
        <f t="shared" si="1"/>
        <v>-30.399999999999977</v>
      </c>
      <c r="AB16">
        <f t="shared" si="2"/>
        <v>-10.810000000000002</v>
      </c>
      <c r="AC16">
        <f t="shared" si="2"/>
        <v>-5.4300000000000068</v>
      </c>
      <c r="AD16">
        <f t="shared" si="2"/>
        <v>-30.399999999999977</v>
      </c>
      <c r="AF16" s="10">
        <f t="shared" si="4"/>
        <v>188</v>
      </c>
      <c r="AG16" s="10">
        <f t="shared" si="5"/>
        <v>90</v>
      </c>
      <c r="AH16">
        <f t="shared" si="3"/>
        <v>208.43224318708465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G1" workbookViewId="0">
      <selection sqref="A1:AH16"/>
    </sheetView>
  </sheetViews>
  <sheetFormatPr defaultRowHeight="15" x14ac:dyDescent="0.25"/>
  <sheetData>
    <row r="1" spans="1:34" x14ac:dyDescent="0.25">
      <c r="A1" s="8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-185.13</v>
      </c>
      <c r="G2">
        <v>-77.98</v>
      </c>
      <c r="H2">
        <v>839</v>
      </c>
      <c r="J2">
        <v>-188</v>
      </c>
      <c r="K2">
        <v>-76</v>
      </c>
      <c r="L2">
        <v>839</v>
      </c>
      <c r="N2">
        <v>-180.2</v>
      </c>
      <c r="O2">
        <v>-77.45</v>
      </c>
      <c r="P2">
        <v>821.36</v>
      </c>
      <c r="R2">
        <f t="shared" ref="R2:R16" si="0" xml:space="preserve"> (N2^2+O2^2+P2^2)^0.5</f>
        <v>844.4541385415788</v>
      </c>
      <c r="T2" s="4">
        <v>204.68</v>
      </c>
      <c r="U2" s="4">
        <v>556.87</v>
      </c>
      <c r="V2" s="4">
        <v>50</v>
      </c>
      <c r="X2">
        <f t="shared" ref="X2:Z16" si="1">N2-F2</f>
        <v>4.9300000000000068</v>
      </c>
      <c r="Y2">
        <f t="shared" si="1"/>
        <v>0.53000000000000114</v>
      </c>
      <c r="Z2" s="9">
        <f t="shared" si="1"/>
        <v>-17.639999999999986</v>
      </c>
      <c r="AB2">
        <f t="shared" ref="AB2:AD16" si="2">N2-J2</f>
        <v>7.8000000000000114</v>
      </c>
      <c r="AC2">
        <f t="shared" si="2"/>
        <v>-1.4500000000000028</v>
      </c>
      <c r="AD2">
        <f t="shared" si="2"/>
        <v>-17.639999999999986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-80.17</v>
      </c>
      <c r="G3">
        <v>-77.7</v>
      </c>
      <c r="H3">
        <v>836</v>
      </c>
      <c r="J3">
        <v>-83</v>
      </c>
      <c r="K3">
        <v>-77</v>
      </c>
      <c r="L3">
        <v>836</v>
      </c>
      <c r="N3">
        <v>-79.680000000000007</v>
      </c>
      <c r="O3">
        <v>-75.47</v>
      </c>
      <c r="P3">
        <v>819.44</v>
      </c>
      <c r="R3">
        <f t="shared" si="0"/>
        <v>826.75663704623503</v>
      </c>
      <c r="T3" s="4">
        <v>104.12</v>
      </c>
      <c r="U3" s="4">
        <v>557.07000000000005</v>
      </c>
      <c r="V3" s="4">
        <v>50.18</v>
      </c>
      <c r="X3">
        <f t="shared" si="1"/>
        <v>0.48999999999999488</v>
      </c>
      <c r="Y3">
        <f t="shared" si="1"/>
        <v>2.230000000000004</v>
      </c>
      <c r="Z3" s="9">
        <f t="shared" si="1"/>
        <v>-16.559999999999945</v>
      </c>
      <c r="AB3">
        <f t="shared" si="2"/>
        <v>3.3199999999999932</v>
      </c>
      <c r="AC3">
        <f t="shared" si="2"/>
        <v>1.5300000000000011</v>
      </c>
      <c r="AD3">
        <f t="shared" si="2"/>
        <v>-16.559999999999945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652</v>
      </c>
      <c r="D4">
        <v>312</v>
      </c>
      <c r="F4">
        <v>21.49</v>
      </c>
      <c r="G4">
        <v>-77.98</v>
      </c>
      <c r="H4">
        <v>839</v>
      </c>
      <c r="J4">
        <v>20</v>
      </c>
      <c r="K4">
        <v>-77</v>
      </c>
      <c r="L4">
        <v>839</v>
      </c>
      <c r="N4">
        <v>20.64</v>
      </c>
      <c r="O4">
        <v>-73.540000000000006</v>
      </c>
      <c r="P4">
        <v>817.77</v>
      </c>
      <c r="R4">
        <f t="shared" si="0"/>
        <v>821.32935787051952</v>
      </c>
      <c r="T4" s="4">
        <v>3.76</v>
      </c>
      <c r="U4" s="4">
        <v>557.42999999999995</v>
      </c>
      <c r="V4" s="4">
        <v>50.41</v>
      </c>
      <c r="X4">
        <f t="shared" si="1"/>
        <v>-0.84999999999999787</v>
      </c>
      <c r="Y4">
        <f t="shared" si="1"/>
        <v>4.4399999999999977</v>
      </c>
      <c r="Z4" s="9">
        <f t="shared" si="1"/>
        <v>-21.230000000000018</v>
      </c>
      <c r="AB4">
        <f t="shared" si="2"/>
        <v>0.64000000000000057</v>
      </c>
      <c r="AC4">
        <f t="shared" si="2"/>
        <v>3.4599999999999937</v>
      </c>
      <c r="AD4">
        <f t="shared" si="2"/>
        <v>-21.230000000000018</v>
      </c>
      <c r="AF4" s="10">
        <f t="shared" si="4"/>
        <v>12</v>
      </c>
      <c r="AG4" s="10">
        <f t="shared" si="5"/>
        <v>-48</v>
      </c>
      <c r="AH4">
        <f t="shared" si="3"/>
        <v>49.477267507411923</v>
      </c>
    </row>
    <row r="5" spans="1:34" x14ac:dyDescent="0.25">
      <c r="A5">
        <v>4</v>
      </c>
      <c r="C5">
        <v>727</v>
      </c>
      <c r="D5">
        <v>314</v>
      </c>
      <c r="F5">
        <v>122.56</v>
      </c>
      <c r="G5">
        <v>-74.709999999999994</v>
      </c>
      <c r="H5">
        <v>833</v>
      </c>
      <c r="J5">
        <v>122</v>
      </c>
      <c r="K5">
        <v>-73</v>
      </c>
      <c r="L5">
        <v>833</v>
      </c>
      <c r="N5">
        <v>119.61</v>
      </c>
      <c r="O5">
        <v>-71.81</v>
      </c>
      <c r="P5">
        <v>816.53</v>
      </c>
      <c r="R5">
        <f t="shared" si="0"/>
        <v>828.36252275196512</v>
      </c>
      <c r="T5" s="4">
        <v>-95.23</v>
      </c>
      <c r="U5" s="4">
        <v>557.82000000000005</v>
      </c>
      <c r="V5" s="4">
        <v>50.65</v>
      </c>
      <c r="X5">
        <f t="shared" si="1"/>
        <v>-2.9500000000000028</v>
      </c>
      <c r="Y5">
        <f t="shared" si="1"/>
        <v>2.8999999999999915</v>
      </c>
      <c r="Z5" s="9">
        <f t="shared" si="1"/>
        <v>-16.470000000000027</v>
      </c>
      <c r="AB5">
        <f t="shared" si="2"/>
        <v>-2.3900000000000006</v>
      </c>
      <c r="AC5">
        <f t="shared" si="2"/>
        <v>1.1899999999999977</v>
      </c>
      <c r="AD5">
        <f t="shared" si="2"/>
        <v>-16.470000000000027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225.94</v>
      </c>
      <c r="G6">
        <v>-74.540000000000006</v>
      </c>
      <c r="H6">
        <v>831</v>
      </c>
      <c r="J6">
        <v>225</v>
      </c>
      <c r="K6">
        <v>-73</v>
      </c>
      <c r="L6">
        <v>831</v>
      </c>
      <c r="N6">
        <v>219.43</v>
      </c>
      <c r="O6">
        <v>-69.290000000000006</v>
      </c>
      <c r="P6">
        <v>814.71</v>
      </c>
      <c r="R6">
        <f t="shared" si="0"/>
        <v>846.58314009906906</v>
      </c>
      <c r="T6" s="4">
        <v>-195.09</v>
      </c>
      <c r="U6" s="4">
        <v>558.78</v>
      </c>
      <c r="V6" s="4">
        <v>50.68</v>
      </c>
      <c r="X6">
        <f t="shared" si="1"/>
        <v>-6.5099999999999909</v>
      </c>
      <c r="Y6">
        <f t="shared" si="1"/>
        <v>5.25</v>
      </c>
      <c r="Z6" s="9">
        <f t="shared" si="1"/>
        <v>-16.289999999999964</v>
      </c>
      <c r="AB6">
        <f t="shared" si="2"/>
        <v>-5.5699999999999932</v>
      </c>
      <c r="AC6">
        <f t="shared" si="2"/>
        <v>3.7099999999999937</v>
      </c>
      <c r="AD6">
        <f t="shared" si="2"/>
        <v>-16.289999999999964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>
        <v>490</v>
      </c>
      <c r="D7">
        <v>374</v>
      </c>
      <c r="F7">
        <v>-184.51</v>
      </c>
      <c r="G7">
        <v>6.16</v>
      </c>
      <c r="H7">
        <v>779</v>
      </c>
      <c r="J7">
        <v>-188</v>
      </c>
      <c r="K7">
        <v>8</v>
      </c>
      <c r="L7">
        <v>779</v>
      </c>
      <c r="N7">
        <v>-182.72</v>
      </c>
      <c r="O7">
        <v>3.99</v>
      </c>
      <c r="P7">
        <v>764.32</v>
      </c>
      <c r="R7">
        <f t="shared" si="0"/>
        <v>785.86740669148514</v>
      </c>
      <c r="T7" s="3">
        <v>205.06</v>
      </c>
      <c r="U7" s="3">
        <v>656.33</v>
      </c>
      <c r="V7" s="3">
        <v>49.46</v>
      </c>
      <c r="X7">
        <f t="shared" si="1"/>
        <v>1.789999999999992</v>
      </c>
      <c r="Y7">
        <f t="shared" si="1"/>
        <v>-2.17</v>
      </c>
      <c r="Z7" s="9">
        <f t="shared" si="1"/>
        <v>-14.67999999999995</v>
      </c>
      <c r="AB7">
        <f t="shared" si="2"/>
        <v>5.2800000000000011</v>
      </c>
      <c r="AC7">
        <f t="shared" si="2"/>
        <v>-4.01</v>
      </c>
      <c r="AD7">
        <f t="shared" si="2"/>
        <v>-14.67999999999995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571</v>
      </c>
      <c r="D8">
        <v>374</v>
      </c>
      <c r="F8">
        <v>-82.38</v>
      </c>
      <c r="G8">
        <v>6.17</v>
      </c>
      <c r="H8">
        <v>780</v>
      </c>
      <c r="J8">
        <v>-85</v>
      </c>
      <c r="K8">
        <v>8</v>
      </c>
      <c r="L8">
        <v>780</v>
      </c>
      <c r="N8">
        <v>-80.83</v>
      </c>
      <c r="O8">
        <v>5.19</v>
      </c>
      <c r="P8">
        <v>763.63</v>
      </c>
      <c r="R8">
        <f t="shared" si="0"/>
        <v>767.91353803667243</v>
      </c>
      <c r="T8" s="3">
        <v>103.17</v>
      </c>
      <c r="U8" s="3">
        <v>655.52</v>
      </c>
      <c r="V8" s="3">
        <v>49.32</v>
      </c>
      <c r="X8">
        <f t="shared" si="1"/>
        <v>1.5499999999999972</v>
      </c>
      <c r="Y8">
        <f t="shared" si="1"/>
        <v>-0.97999999999999954</v>
      </c>
      <c r="Z8" s="9">
        <f t="shared" si="1"/>
        <v>-16.370000000000005</v>
      </c>
      <c r="AB8">
        <f t="shared" si="2"/>
        <v>4.1700000000000017</v>
      </c>
      <c r="AC8">
        <f t="shared" si="2"/>
        <v>-2.8099999999999996</v>
      </c>
      <c r="AD8">
        <f t="shared" si="2"/>
        <v>-16.370000000000005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18.14</v>
      </c>
      <c r="O9">
        <v>7.56</v>
      </c>
      <c r="P9">
        <v>762</v>
      </c>
      <c r="R9">
        <f t="shared" si="0"/>
        <v>762.25337860845195</v>
      </c>
      <c r="T9" s="3">
        <v>4.1500000000000004</v>
      </c>
      <c r="U9" s="3">
        <v>656.27</v>
      </c>
      <c r="V9" s="3">
        <v>49.28</v>
      </c>
      <c r="X9">
        <f t="shared" si="1"/>
        <v>-1.9399999999999977</v>
      </c>
      <c r="Y9">
        <f t="shared" si="1"/>
        <v>7.9999999999999183E-2</v>
      </c>
      <c r="Z9" s="9">
        <f t="shared" si="1"/>
        <v>-22</v>
      </c>
      <c r="AB9">
        <f t="shared" si="2"/>
        <v>-0.85999999999999943</v>
      </c>
      <c r="AC9">
        <f t="shared" si="2"/>
        <v>-1.4400000000000004</v>
      </c>
      <c r="AD9">
        <f t="shared" si="2"/>
        <v>-22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734</v>
      </c>
      <c r="D10">
        <v>374</v>
      </c>
      <c r="F10">
        <v>123.29</v>
      </c>
      <c r="G10">
        <v>6.16</v>
      </c>
      <c r="H10">
        <v>778</v>
      </c>
      <c r="J10">
        <v>123</v>
      </c>
      <c r="K10">
        <v>8</v>
      </c>
      <c r="L10">
        <v>778</v>
      </c>
      <c r="N10">
        <v>117.85</v>
      </c>
      <c r="O10">
        <v>8.15</v>
      </c>
      <c r="P10">
        <v>760.81</v>
      </c>
      <c r="R10">
        <f t="shared" si="0"/>
        <v>769.9265556531999</v>
      </c>
      <c r="T10" s="3">
        <v>-95.56</v>
      </c>
      <c r="U10" s="3">
        <v>655.29999999999995</v>
      </c>
      <c r="V10" s="3">
        <v>49.9</v>
      </c>
      <c r="X10">
        <f t="shared" si="1"/>
        <v>-5.4400000000000119</v>
      </c>
      <c r="Y10">
        <f t="shared" si="1"/>
        <v>1.9900000000000002</v>
      </c>
      <c r="Z10" s="9">
        <f t="shared" si="1"/>
        <v>-17.190000000000055</v>
      </c>
      <c r="AB10">
        <f t="shared" si="2"/>
        <v>-5.1500000000000057</v>
      </c>
      <c r="AC10">
        <f t="shared" si="2"/>
        <v>0.15000000000000036</v>
      </c>
      <c r="AD10">
        <f t="shared" si="2"/>
        <v>-17.190000000000055</v>
      </c>
      <c r="AF10" s="10">
        <f t="shared" si="4"/>
        <v>94</v>
      </c>
      <c r="AG10" s="10">
        <f t="shared" si="5"/>
        <v>14</v>
      </c>
      <c r="AH10">
        <f t="shared" si="3"/>
        <v>95.036834964133774</v>
      </c>
    </row>
    <row r="11" spans="1:34" x14ac:dyDescent="0.25">
      <c r="A11">
        <v>10</v>
      </c>
      <c r="C11">
        <v>814</v>
      </c>
      <c r="D11">
        <v>376</v>
      </c>
      <c r="F11">
        <v>223.56</v>
      </c>
      <c r="G11">
        <v>8.67</v>
      </c>
      <c r="H11">
        <v>776</v>
      </c>
      <c r="J11">
        <v>223</v>
      </c>
      <c r="K11">
        <v>10</v>
      </c>
      <c r="L11">
        <v>776</v>
      </c>
      <c r="N11">
        <v>217.31</v>
      </c>
      <c r="O11">
        <v>10.76</v>
      </c>
      <c r="P11">
        <v>758.25</v>
      </c>
      <c r="R11">
        <f t="shared" si="0"/>
        <v>788.8488297513029</v>
      </c>
      <c r="T11" s="3">
        <v>-195.08</v>
      </c>
      <c r="U11" s="3">
        <v>656.77</v>
      </c>
      <c r="V11" s="3">
        <v>50.47</v>
      </c>
      <c r="X11">
        <f t="shared" si="1"/>
        <v>-6.25</v>
      </c>
      <c r="Y11">
        <f t="shared" si="1"/>
        <v>2.09</v>
      </c>
      <c r="Z11" s="9">
        <f t="shared" si="1"/>
        <v>-17.75</v>
      </c>
      <c r="AB11">
        <f t="shared" si="2"/>
        <v>-5.6899999999999977</v>
      </c>
      <c r="AC11">
        <f t="shared" si="2"/>
        <v>0.75999999999999979</v>
      </c>
      <c r="AD11">
        <f t="shared" si="2"/>
        <v>-17.75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476</v>
      </c>
      <c r="D12">
        <v>446</v>
      </c>
      <c r="F12">
        <v>-188.43</v>
      </c>
      <c r="G12">
        <v>90.79</v>
      </c>
      <c r="H12">
        <v>726</v>
      </c>
      <c r="J12">
        <v>-191</v>
      </c>
      <c r="K12">
        <v>92</v>
      </c>
      <c r="L12">
        <v>726</v>
      </c>
      <c r="N12">
        <v>-184.42</v>
      </c>
      <c r="O12">
        <v>86</v>
      </c>
      <c r="P12">
        <v>706.57</v>
      </c>
      <c r="R12">
        <f t="shared" si="0"/>
        <v>735.28763167892339</v>
      </c>
      <c r="T12" s="5">
        <v>204.61</v>
      </c>
      <c r="U12" s="5">
        <v>756.65</v>
      </c>
      <c r="V12" s="5">
        <v>49.18</v>
      </c>
      <c r="X12">
        <f t="shared" si="1"/>
        <v>4.0100000000000193</v>
      </c>
      <c r="Y12">
        <f t="shared" si="1"/>
        <v>-4.7900000000000063</v>
      </c>
      <c r="Z12" s="9">
        <f t="shared" si="1"/>
        <v>-19.42999999999995</v>
      </c>
      <c r="AB12">
        <f t="shared" si="2"/>
        <v>6.5800000000000125</v>
      </c>
      <c r="AC12">
        <f t="shared" si="2"/>
        <v>-6</v>
      </c>
      <c r="AD12">
        <f t="shared" si="2"/>
        <v>-19.42999999999995</v>
      </c>
      <c r="AF12" s="10">
        <f t="shared" si="4"/>
        <v>-164</v>
      </c>
      <c r="AG12" s="10">
        <f t="shared" si="5"/>
        <v>86</v>
      </c>
      <c r="AH12">
        <f t="shared" si="3"/>
        <v>185.18099254513137</v>
      </c>
    </row>
    <row r="13" spans="1:34" x14ac:dyDescent="0.25">
      <c r="A13">
        <v>12</v>
      </c>
      <c r="C13">
        <v>565</v>
      </c>
      <c r="D13">
        <v>448</v>
      </c>
      <c r="F13">
        <v>-83.62</v>
      </c>
      <c r="G13">
        <v>93.03</v>
      </c>
      <c r="H13">
        <v>725</v>
      </c>
      <c r="J13">
        <v>-86</v>
      </c>
      <c r="K13">
        <v>95</v>
      </c>
      <c r="L13">
        <v>725</v>
      </c>
      <c r="N13">
        <v>-82.6</v>
      </c>
      <c r="O13">
        <v>88.14</v>
      </c>
      <c r="P13">
        <v>705.3</v>
      </c>
      <c r="R13">
        <f t="shared" si="0"/>
        <v>715.56936043964311</v>
      </c>
      <c r="T13" s="5">
        <v>102.76</v>
      </c>
      <c r="U13" s="5">
        <v>756.94</v>
      </c>
      <c r="V13" s="5">
        <v>48.98</v>
      </c>
      <c r="X13">
        <f t="shared" si="1"/>
        <v>1.0200000000000102</v>
      </c>
      <c r="Y13">
        <f t="shared" si="1"/>
        <v>-4.8900000000000006</v>
      </c>
      <c r="Z13" s="9">
        <f t="shared" si="1"/>
        <v>-19.700000000000045</v>
      </c>
      <c r="AB13">
        <f t="shared" si="2"/>
        <v>3.4000000000000057</v>
      </c>
      <c r="AC13">
        <f t="shared" si="2"/>
        <v>-6.8599999999999994</v>
      </c>
      <c r="AD13">
        <f t="shared" si="2"/>
        <v>-19.700000000000045</v>
      </c>
      <c r="AF13" s="10">
        <f t="shared" si="4"/>
        <v>-75</v>
      </c>
      <c r="AG13" s="10">
        <f t="shared" si="5"/>
        <v>88</v>
      </c>
      <c r="AH13">
        <f t="shared" si="3"/>
        <v>115.62439189029277</v>
      </c>
    </row>
    <row r="14" spans="1:34" x14ac:dyDescent="0.25">
      <c r="A14">
        <v>13</v>
      </c>
      <c r="C14">
        <v>652</v>
      </c>
      <c r="D14">
        <v>448</v>
      </c>
      <c r="F14">
        <v>18.489999999999998</v>
      </c>
      <c r="G14">
        <v>92.64</v>
      </c>
      <c r="H14">
        <v>722</v>
      </c>
      <c r="J14">
        <v>17</v>
      </c>
      <c r="K14">
        <v>95</v>
      </c>
      <c r="L14">
        <v>722</v>
      </c>
      <c r="N14">
        <v>14.8</v>
      </c>
      <c r="O14">
        <v>89.49</v>
      </c>
      <c r="P14">
        <v>704.12</v>
      </c>
      <c r="R14">
        <f t="shared" si="0"/>
        <v>709.93835964821619</v>
      </c>
      <c r="T14" s="5">
        <v>5.33</v>
      </c>
      <c r="U14" s="5">
        <v>756.63</v>
      </c>
      <c r="V14" s="5">
        <v>49.15</v>
      </c>
      <c r="X14">
        <f t="shared" si="1"/>
        <v>-3.6899999999999977</v>
      </c>
      <c r="Y14">
        <f t="shared" si="1"/>
        <v>-3.1500000000000057</v>
      </c>
      <c r="Z14" s="9">
        <f t="shared" si="1"/>
        <v>-17.879999999999995</v>
      </c>
      <c r="AB14">
        <f t="shared" si="2"/>
        <v>-2.1999999999999993</v>
      </c>
      <c r="AC14">
        <f t="shared" si="2"/>
        <v>-5.5100000000000051</v>
      </c>
      <c r="AD14">
        <f t="shared" si="2"/>
        <v>-17.879999999999995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739</v>
      </c>
      <c r="D15">
        <v>449</v>
      </c>
      <c r="F15" s="7">
        <v>119.93</v>
      </c>
      <c r="G15">
        <v>93.56</v>
      </c>
      <c r="H15">
        <v>720</v>
      </c>
      <c r="J15">
        <v>119</v>
      </c>
      <c r="K15">
        <v>96</v>
      </c>
      <c r="L15">
        <v>720</v>
      </c>
      <c r="N15">
        <v>116</v>
      </c>
      <c r="O15">
        <v>91.52</v>
      </c>
      <c r="P15">
        <v>702.53</v>
      </c>
      <c r="R15">
        <f t="shared" si="0"/>
        <v>717.89993125783201</v>
      </c>
      <c r="T15" s="5">
        <v>-95.9</v>
      </c>
      <c r="U15" s="5">
        <v>757.03</v>
      </c>
      <c r="V15" s="5">
        <v>49.27</v>
      </c>
      <c r="X15">
        <f t="shared" si="1"/>
        <v>-3.9300000000000068</v>
      </c>
      <c r="Y15">
        <f t="shared" si="1"/>
        <v>-2.0400000000000063</v>
      </c>
      <c r="Z15" s="9">
        <f t="shared" si="1"/>
        <v>-17.470000000000027</v>
      </c>
      <c r="AB15">
        <f t="shared" si="2"/>
        <v>-3</v>
      </c>
      <c r="AC15">
        <f t="shared" si="2"/>
        <v>-4.480000000000004</v>
      </c>
      <c r="AD15">
        <f t="shared" si="2"/>
        <v>-17.470000000000027</v>
      </c>
      <c r="AF15" s="10">
        <f t="shared" si="4"/>
        <v>99</v>
      </c>
      <c r="AG15" s="10">
        <f t="shared" si="5"/>
        <v>89</v>
      </c>
      <c r="AH15">
        <f t="shared" si="3"/>
        <v>133.12400234367956</v>
      </c>
    </row>
    <row r="16" spans="1:34" x14ac:dyDescent="0.25">
      <c r="A16">
        <v>15</v>
      </c>
      <c r="C16">
        <v>829</v>
      </c>
      <c r="D16">
        <v>450</v>
      </c>
      <c r="F16">
        <v>223.98</v>
      </c>
      <c r="G16">
        <v>94.33</v>
      </c>
      <c r="H16">
        <v>717</v>
      </c>
      <c r="J16">
        <v>223</v>
      </c>
      <c r="K16">
        <v>96</v>
      </c>
      <c r="L16">
        <v>717</v>
      </c>
      <c r="N16">
        <v>214.29</v>
      </c>
      <c r="O16">
        <v>93.12</v>
      </c>
      <c r="P16">
        <v>700.39</v>
      </c>
      <c r="R16">
        <f t="shared" si="0"/>
        <v>738.33440296386027</v>
      </c>
      <c r="T16" s="5">
        <v>-194.22</v>
      </c>
      <c r="U16" s="5">
        <v>757.46</v>
      </c>
      <c r="V16" s="5">
        <v>50.08</v>
      </c>
      <c r="X16">
        <f t="shared" si="1"/>
        <v>-9.6899999999999977</v>
      </c>
      <c r="Y16">
        <f t="shared" si="1"/>
        <v>-1.2099999999999937</v>
      </c>
      <c r="Z16" s="9">
        <f t="shared" si="1"/>
        <v>-16.610000000000014</v>
      </c>
      <c r="AB16">
        <f t="shared" si="2"/>
        <v>-8.710000000000008</v>
      </c>
      <c r="AC16">
        <f t="shared" si="2"/>
        <v>-2.8799999999999955</v>
      </c>
      <c r="AD16">
        <f t="shared" si="2"/>
        <v>-16.610000000000014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/>
  </sheetViews>
  <sheetFormatPr defaultRowHeight="15" x14ac:dyDescent="0.25"/>
  <sheetData>
    <row r="1" spans="1:34" x14ac:dyDescent="0.25">
      <c r="A1" s="1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-187.34</v>
      </c>
      <c r="G2">
        <v>-78.91</v>
      </c>
      <c r="H2">
        <v>849</v>
      </c>
      <c r="J2">
        <v>-191</v>
      </c>
      <c r="K2">
        <v>-77</v>
      </c>
      <c r="L2">
        <v>849</v>
      </c>
      <c r="N2">
        <v>-180.53</v>
      </c>
      <c r="O2">
        <v>-76.739999999999995</v>
      </c>
      <c r="P2">
        <v>820.58</v>
      </c>
      <c r="R2">
        <f t="shared" ref="R2:R16" si="0" xml:space="preserve"> (N2^2+O2^2+P2^2)^0.5</f>
        <v>843.7011585271174</v>
      </c>
      <c r="T2" s="4">
        <v>204.99</v>
      </c>
      <c r="U2" s="4">
        <v>557.91</v>
      </c>
      <c r="V2" s="4">
        <v>50.22</v>
      </c>
      <c r="X2">
        <f t="shared" ref="X2:Z16" si="1">N2-F2</f>
        <v>6.8100000000000023</v>
      </c>
      <c r="Y2">
        <f t="shared" si="1"/>
        <v>2.1700000000000017</v>
      </c>
      <c r="Z2" s="9">
        <f t="shared" si="1"/>
        <v>-28.419999999999959</v>
      </c>
      <c r="AB2">
        <f t="shared" ref="AB2:AD16" si="2">N2-J2</f>
        <v>10.469999999999999</v>
      </c>
      <c r="AC2">
        <f t="shared" si="2"/>
        <v>0.26000000000000512</v>
      </c>
      <c r="AD2">
        <f t="shared" si="2"/>
        <v>-28.419999999999959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-82.6</v>
      </c>
      <c r="G3">
        <v>-78.73</v>
      </c>
      <c r="H3">
        <v>847</v>
      </c>
      <c r="J3">
        <v>-85</v>
      </c>
      <c r="K3">
        <v>-78</v>
      </c>
      <c r="L3">
        <v>847</v>
      </c>
      <c r="N3">
        <v>-79.44</v>
      </c>
      <c r="O3">
        <v>-75.48</v>
      </c>
      <c r="P3">
        <v>820.43</v>
      </c>
      <c r="R3">
        <f t="shared" si="0"/>
        <v>827.71572952312556</v>
      </c>
      <c r="T3" s="4">
        <v>103.9</v>
      </c>
      <c r="U3" s="4">
        <v>556.85</v>
      </c>
      <c r="V3" s="4">
        <v>49.61</v>
      </c>
      <c r="X3">
        <f t="shared" si="1"/>
        <v>3.1599999999999966</v>
      </c>
      <c r="Y3">
        <f t="shared" si="1"/>
        <v>3.25</v>
      </c>
      <c r="Z3" s="9">
        <f t="shared" si="1"/>
        <v>-26.57000000000005</v>
      </c>
      <c r="AB3">
        <f t="shared" si="2"/>
        <v>5.5600000000000023</v>
      </c>
      <c r="AC3">
        <f t="shared" si="2"/>
        <v>2.519999999999996</v>
      </c>
      <c r="AD3">
        <f t="shared" si="2"/>
        <v>-26.57000000000005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20.100000000000001</v>
      </c>
      <c r="O4">
        <v>-73.41</v>
      </c>
      <c r="P4">
        <v>818.18</v>
      </c>
      <c r="R4">
        <f t="shared" si="0"/>
        <v>821.71257170618969</v>
      </c>
      <c r="T4" s="4">
        <v>4.3099999999999996</v>
      </c>
      <c r="U4" s="4">
        <v>557.70000000000005</v>
      </c>
      <c r="V4" s="4">
        <v>50.24</v>
      </c>
      <c r="X4">
        <f t="shared" si="1"/>
        <v>-1.5899999999999999</v>
      </c>
      <c r="Y4">
        <f t="shared" si="1"/>
        <v>3.9399999999999977</v>
      </c>
      <c r="Z4" s="9">
        <f t="shared" si="1"/>
        <v>-28.82000000000005</v>
      </c>
      <c r="AB4">
        <f t="shared" si="2"/>
        <v>0.10000000000000142</v>
      </c>
      <c r="AC4">
        <f t="shared" si="2"/>
        <v>2.5900000000000034</v>
      </c>
      <c r="AD4">
        <f t="shared" si="2"/>
        <v>-28.82000000000005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314</v>
      </c>
      <c r="F5">
        <v>124.18</v>
      </c>
      <c r="G5">
        <v>-75.7</v>
      </c>
      <c r="H5">
        <v>844</v>
      </c>
      <c r="J5">
        <v>124</v>
      </c>
      <c r="K5">
        <v>-74</v>
      </c>
      <c r="L5">
        <v>844</v>
      </c>
      <c r="N5">
        <v>120.04</v>
      </c>
      <c r="O5">
        <v>-71.86</v>
      </c>
      <c r="P5">
        <v>815.89</v>
      </c>
      <c r="R5">
        <f t="shared" si="0"/>
        <v>827.79825640067645</v>
      </c>
      <c r="T5" s="4">
        <v>-95.66</v>
      </c>
      <c r="U5" s="4">
        <v>558.14</v>
      </c>
      <c r="V5" s="4">
        <v>51.2</v>
      </c>
      <c r="X5">
        <f t="shared" si="1"/>
        <v>-4.1400000000000006</v>
      </c>
      <c r="Y5">
        <f t="shared" si="1"/>
        <v>3.8400000000000034</v>
      </c>
      <c r="Z5" s="9">
        <f t="shared" si="1"/>
        <v>-28.110000000000014</v>
      </c>
      <c r="AB5">
        <f t="shared" si="2"/>
        <v>-3.9599999999999937</v>
      </c>
      <c r="AC5">
        <f t="shared" si="2"/>
        <v>2.1400000000000006</v>
      </c>
      <c r="AD5">
        <f t="shared" si="2"/>
        <v>-28.110000000000014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313</v>
      </c>
      <c r="F6">
        <v>228.66</v>
      </c>
      <c r="G6">
        <v>-76.8</v>
      </c>
      <c r="H6">
        <v>841</v>
      </c>
      <c r="J6">
        <v>228</v>
      </c>
      <c r="K6">
        <v>-75</v>
      </c>
      <c r="L6">
        <v>841</v>
      </c>
      <c r="N6">
        <v>220.41</v>
      </c>
      <c r="O6">
        <v>-70.55</v>
      </c>
      <c r="P6">
        <v>814.75</v>
      </c>
      <c r="R6">
        <f t="shared" si="0"/>
        <v>846.98018459701882</v>
      </c>
      <c r="T6" s="4">
        <v>-196.05</v>
      </c>
      <c r="U6" s="4">
        <v>557.71</v>
      </c>
      <c r="V6" s="4">
        <v>51.37</v>
      </c>
      <c r="X6">
        <f t="shared" si="1"/>
        <v>-8.25</v>
      </c>
      <c r="Y6">
        <f t="shared" si="1"/>
        <v>6.25</v>
      </c>
      <c r="Z6" s="9">
        <f t="shared" si="1"/>
        <v>-26.25</v>
      </c>
      <c r="AB6">
        <f t="shared" si="2"/>
        <v>-7.5900000000000034</v>
      </c>
      <c r="AC6">
        <f t="shared" si="2"/>
        <v>4.4500000000000028</v>
      </c>
      <c r="AD6">
        <f t="shared" si="2"/>
        <v>-26.25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489</v>
      </c>
      <c r="D7">
        <v>374</v>
      </c>
      <c r="F7">
        <v>-188.64</v>
      </c>
      <c r="G7">
        <v>6.26</v>
      </c>
      <c r="H7">
        <v>791</v>
      </c>
      <c r="J7">
        <v>-192</v>
      </c>
      <c r="K7">
        <v>8</v>
      </c>
      <c r="L7">
        <v>791</v>
      </c>
      <c r="N7">
        <v>-182.82</v>
      </c>
      <c r="O7">
        <v>4.09</v>
      </c>
      <c r="P7">
        <v>764.24</v>
      </c>
      <c r="R7">
        <f t="shared" si="0"/>
        <v>785.81337358179394</v>
      </c>
      <c r="T7" s="3">
        <v>205.16</v>
      </c>
      <c r="U7" s="3">
        <v>656.47</v>
      </c>
      <c r="V7" s="3">
        <v>49.47</v>
      </c>
      <c r="X7">
        <f t="shared" si="1"/>
        <v>5.8199999999999932</v>
      </c>
      <c r="Y7">
        <f t="shared" si="1"/>
        <v>-2.17</v>
      </c>
      <c r="Z7" s="9">
        <f t="shared" si="1"/>
        <v>-26.759999999999991</v>
      </c>
      <c r="AB7">
        <f t="shared" si="2"/>
        <v>9.1800000000000068</v>
      </c>
      <c r="AC7">
        <f t="shared" si="2"/>
        <v>-3.91</v>
      </c>
      <c r="AD7">
        <f t="shared" si="2"/>
        <v>-26.759999999999991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-83.33</v>
      </c>
      <c r="G8">
        <v>6.24</v>
      </c>
      <c r="H8">
        <v>789</v>
      </c>
      <c r="J8">
        <v>-86</v>
      </c>
      <c r="K8">
        <v>8</v>
      </c>
      <c r="L8">
        <v>789</v>
      </c>
      <c r="N8">
        <v>-81.760000000000005</v>
      </c>
      <c r="O8">
        <v>5.24</v>
      </c>
      <c r="P8">
        <v>763.01</v>
      </c>
      <c r="R8">
        <f t="shared" si="0"/>
        <v>767.39586609519858</v>
      </c>
      <c r="T8" s="3">
        <v>104.09</v>
      </c>
      <c r="U8" s="3">
        <v>655.94</v>
      </c>
      <c r="V8" s="3">
        <v>49.8</v>
      </c>
      <c r="X8">
        <f t="shared" si="1"/>
        <v>1.5699999999999932</v>
      </c>
      <c r="Y8">
        <f t="shared" si="1"/>
        <v>-1</v>
      </c>
      <c r="Z8" s="9">
        <f t="shared" si="1"/>
        <v>-25.990000000000009</v>
      </c>
      <c r="AB8">
        <f t="shared" si="2"/>
        <v>4.2399999999999949</v>
      </c>
      <c r="AC8">
        <f t="shared" si="2"/>
        <v>-2.76</v>
      </c>
      <c r="AD8">
        <f t="shared" si="2"/>
        <v>-25.990000000000009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375</v>
      </c>
      <c r="F9">
        <v>20.260000000000002</v>
      </c>
      <c r="G9">
        <v>7.55</v>
      </c>
      <c r="H9">
        <v>791</v>
      </c>
      <c r="J9">
        <v>19</v>
      </c>
      <c r="K9">
        <v>9</v>
      </c>
      <c r="L9">
        <v>791</v>
      </c>
      <c r="N9">
        <v>18.489999999999998</v>
      </c>
      <c r="O9">
        <v>6.65</v>
      </c>
      <c r="P9">
        <v>761.8</v>
      </c>
      <c r="R9">
        <f t="shared" si="0"/>
        <v>762.05337254027017</v>
      </c>
      <c r="T9" s="3">
        <v>3.81</v>
      </c>
      <c r="U9" s="3">
        <v>655.64</v>
      </c>
      <c r="V9" s="3">
        <v>49.97</v>
      </c>
      <c r="X9">
        <f t="shared" si="1"/>
        <v>-1.7700000000000031</v>
      </c>
      <c r="Y9">
        <f t="shared" si="1"/>
        <v>-0.89999999999999947</v>
      </c>
      <c r="Z9" s="9">
        <f t="shared" si="1"/>
        <v>-29.200000000000045</v>
      </c>
      <c r="AB9">
        <f t="shared" si="2"/>
        <v>-0.51000000000000156</v>
      </c>
      <c r="AC9">
        <f t="shared" si="2"/>
        <v>-2.3499999999999996</v>
      </c>
      <c r="AD9">
        <f t="shared" si="2"/>
        <v>-29.200000000000045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123.75</v>
      </c>
      <c r="G10">
        <v>7.53</v>
      </c>
      <c r="H10">
        <v>789</v>
      </c>
      <c r="J10">
        <v>123</v>
      </c>
      <c r="K10">
        <v>9</v>
      </c>
      <c r="L10">
        <v>789</v>
      </c>
      <c r="N10">
        <v>118.08</v>
      </c>
      <c r="O10">
        <v>8.0399999999999991</v>
      </c>
      <c r="P10">
        <v>760.43</v>
      </c>
      <c r="R10">
        <f t="shared" si="0"/>
        <v>769.58515636672723</v>
      </c>
      <c r="T10" s="3">
        <v>-95.79</v>
      </c>
      <c r="U10" s="3">
        <v>655.42</v>
      </c>
      <c r="V10" s="3">
        <v>50.27</v>
      </c>
      <c r="X10">
        <f t="shared" si="1"/>
        <v>-5.6700000000000017</v>
      </c>
      <c r="Y10">
        <f t="shared" si="1"/>
        <v>0.5099999999999989</v>
      </c>
      <c r="Z10" s="9">
        <f t="shared" si="1"/>
        <v>-28.57000000000005</v>
      </c>
      <c r="AB10">
        <f t="shared" si="2"/>
        <v>-4.9200000000000017</v>
      </c>
      <c r="AC10">
        <f t="shared" si="2"/>
        <v>-0.96000000000000085</v>
      </c>
      <c r="AD10">
        <f t="shared" si="2"/>
        <v>-28.57000000000005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376</v>
      </c>
      <c r="F11">
        <v>227.42</v>
      </c>
      <c r="G11">
        <v>8.77</v>
      </c>
      <c r="H11">
        <v>785</v>
      </c>
      <c r="J11">
        <v>227</v>
      </c>
      <c r="K11">
        <v>10</v>
      </c>
      <c r="L11">
        <v>785</v>
      </c>
      <c r="N11">
        <v>217.08</v>
      </c>
      <c r="O11">
        <v>10.119999999999999</v>
      </c>
      <c r="P11">
        <v>758.5</v>
      </c>
      <c r="R11">
        <f t="shared" si="0"/>
        <v>789.01735773048745</v>
      </c>
      <c r="T11" s="3">
        <v>-194.83</v>
      </c>
      <c r="U11" s="3">
        <v>656.11</v>
      </c>
      <c r="V11" s="3">
        <v>50.64</v>
      </c>
      <c r="X11">
        <f t="shared" si="1"/>
        <v>-10.339999999999975</v>
      </c>
      <c r="Y11">
        <f t="shared" si="1"/>
        <v>1.3499999999999996</v>
      </c>
      <c r="Z11" s="9">
        <f t="shared" si="1"/>
        <v>-26.5</v>
      </c>
      <c r="AB11">
        <f t="shared" si="2"/>
        <v>-9.9199999999999875</v>
      </c>
      <c r="AC11">
        <f t="shared" si="2"/>
        <v>0.11999999999999922</v>
      </c>
      <c r="AD11">
        <f t="shared" si="2"/>
        <v>-26.5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-191.43</v>
      </c>
      <c r="G12">
        <v>92.86</v>
      </c>
      <c r="H12">
        <v>733</v>
      </c>
      <c r="J12">
        <v>-194</v>
      </c>
      <c r="K12">
        <v>94</v>
      </c>
      <c r="L12">
        <v>733</v>
      </c>
      <c r="N12">
        <v>-184.63</v>
      </c>
      <c r="O12">
        <v>86.57</v>
      </c>
      <c r="P12">
        <v>706.98</v>
      </c>
      <c r="R12">
        <f t="shared" si="0"/>
        <v>735.8011431086527</v>
      </c>
      <c r="T12" s="5">
        <v>204.81</v>
      </c>
      <c r="U12" s="5">
        <v>756.88</v>
      </c>
      <c r="V12" s="5">
        <v>48.52</v>
      </c>
      <c r="X12">
        <f t="shared" si="1"/>
        <v>6.8000000000000114</v>
      </c>
      <c r="Y12">
        <f t="shared" si="1"/>
        <v>-6.2900000000000063</v>
      </c>
      <c r="Z12" s="9">
        <f t="shared" si="1"/>
        <v>-26.019999999999982</v>
      </c>
      <c r="AB12">
        <f t="shared" si="2"/>
        <v>9.3700000000000045</v>
      </c>
      <c r="AC12">
        <f t="shared" si="2"/>
        <v>-7.4300000000000068</v>
      </c>
      <c r="AD12">
        <f t="shared" si="2"/>
        <v>-26.019999999999982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-83.47</v>
      </c>
      <c r="G13">
        <v>92.99</v>
      </c>
      <c r="H13">
        <v>734</v>
      </c>
      <c r="J13">
        <v>-86</v>
      </c>
      <c r="K13">
        <v>95</v>
      </c>
      <c r="L13">
        <v>734</v>
      </c>
      <c r="N13">
        <v>-81.75</v>
      </c>
      <c r="O13">
        <v>87.59</v>
      </c>
      <c r="P13">
        <v>705.5</v>
      </c>
      <c r="R13">
        <f t="shared" si="0"/>
        <v>715.60136989807393</v>
      </c>
      <c r="T13" s="5">
        <v>101.92</v>
      </c>
      <c r="U13" s="5">
        <v>756.36</v>
      </c>
      <c r="V13" s="5">
        <v>49.13</v>
      </c>
      <c r="X13">
        <f t="shared" si="1"/>
        <v>1.7199999999999989</v>
      </c>
      <c r="Y13">
        <f t="shared" si="1"/>
        <v>-5.3999999999999915</v>
      </c>
      <c r="Z13" s="9">
        <f t="shared" si="1"/>
        <v>-28.5</v>
      </c>
      <c r="AB13">
        <f t="shared" si="2"/>
        <v>4.25</v>
      </c>
      <c r="AC13">
        <f t="shared" si="2"/>
        <v>-7.4099999999999966</v>
      </c>
      <c r="AD13">
        <f t="shared" si="2"/>
        <v>-28.5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17.559999999999999</v>
      </c>
      <c r="G14">
        <v>93.92</v>
      </c>
      <c r="H14">
        <v>732</v>
      </c>
      <c r="J14">
        <v>16</v>
      </c>
      <c r="K14">
        <v>96</v>
      </c>
      <c r="L14">
        <v>732</v>
      </c>
      <c r="N14">
        <v>15.91</v>
      </c>
      <c r="O14">
        <v>89.58</v>
      </c>
      <c r="P14">
        <v>703.98</v>
      </c>
      <c r="R14">
        <f t="shared" si="0"/>
        <v>709.83487157225522</v>
      </c>
      <c r="T14" s="5">
        <v>4.22</v>
      </c>
      <c r="U14" s="5">
        <v>756.76</v>
      </c>
      <c r="V14" s="5">
        <v>49.22</v>
      </c>
      <c r="X14">
        <f t="shared" si="1"/>
        <v>-1.6499999999999986</v>
      </c>
      <c r="Y14">
        <f t="shared" si="1"/>
        <v>-4.3400000000000034</v>
      </c>
      <c r="Z14" s="9">
        <f t="shared" si="1"/>
        <v>-28.019999999999982</v>
      </c>
      <c r="AB14">
        <f t="shared" si="2"/>
        <v>-8.9999999999999858E-2</v>
      </c>
      <c r="AC14">
        <f t="shared" si="2"/>
        <v>-6.4200000000000017</v>
      </c>
      <c r="AD14">
        <f t="shared" si="2"/>
        <v>-28.019999999999982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122.44</v>
      </c>
      <c r="G15">
        <v>94.59</v>
      </c>
      <c r="H15">
        <v>728</v>
      </c>
      <c r="J15">
        <v>122</v>
      </c>
      <c r="K15">
        <v>97</v>
      </c>
      <c r="L15">
        <v>728</v>
      </c>
      <c r="N15">
        <v>116.35</v>
      </c>
      <c r="O15">
        <v>91.46</v>
      </c>
      <c r="P15">
        <v>702.56</v>
      </c>
      <c r="R15">
        <f t="shared" si="0"/>
        <v>717.97827801403571</v>
      </c>
      <c r="T15" s="5">
        <v>-96.25</v>
      </c>
      <c r="U15" s="5">
        <v>756.96</v>
      </c>
      <c r="V15" s="5">
        <v>49.28</v>
      </c>
      <c r="X15">
        <f t="shared" si="1"/>
        <v>-6.0900000000000034</v>
      </c>
      <c r="Y15">
        <f t="shared" si="1"/>
        <v>-3.1300000000000097</v>
      </c>
      <c r="Z15" s="9">
        <f t="shared" si="1"/>
        <v>-25.440000000000055</v>
      </c>
      <c r="AB15">
        <f t="shared" si="2"/>
        <v>-5.6500000000000057</v>
      </c>
      <c r="AC15">
        <f t="shared" si="2"/>
        <v>-5.5400000000000063</v>
      </c>
      <c r="AD15">
        <f t="shared" si="2"/>
        <v>-25.440000000000055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227.42</v>
      </c>
      <c r="G16">
        <v>95.78</v>
      </c>
      <c r="H16">
        <v>728</v>
      </c>
      <c r="J16">
        <v>226</v>
      </c>
      <c r="K16">
        <v>97</v>
      </c>
      <c r="L16">
        <v>728</v>
      </c>
      <c r="N16">
        <v>215.64</v>
      </c>
      <c r="O16">
        <v>93.01</v>
      </c>
      <c r="P16">
        <v>700.17</v>
      </c>
      <c r="R16">
        <f t="shared" si="0"/>
        <v>738.50490763433652</v>
      </c>
      <c r="T16" s="5">
        <v>-195.57</v>
      </c>
      <c r="U16" s="5">
        <v>757.47</v>
      </c>
      <c r="V16" s="5">
        <v>50.33</v>
      </c>
      <c r="X16">
        <f t="shared" si="1"/>
        <v>-11.780000000000001</v>
      </c>
      <c r="Y16">
        <f t="shared" si="1"/>
        <v>-2.769999999999996</v>
      </c>
      <c r="Z16" s="9">
        <f t="shared" si="1"/>
        <v>-27.830000000000041</v>
      </c>
      <c r="AB16">
        <f t="shared" si="2"/>
        <v>-10.360000000000014</v>
      </c>
      <c r="AC16">
        <f t="shared" si="2"/>
        <v>-3.9899999999999949</v>
      </c>
      <c r="AD16">
        <f t="shared" si="2"/>
        <v>-27.830000000000041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G1" workbookViewId="0">
      <selection sqref="A1:AH16"/>
    </sheetView>
  </sheetViews>
  <sheetFormatPr defaultRowHeight="15" x14ac:dyDescent="0.25"/>
  <sheetData>
    <row r="1" spans="1:34" x14ac:dyDescent="0.25">
      <c r="A1" s="1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-184.21</v>
      </c>
      <c r="G2">
        <v>-78.17</v>
      </c>
      <c r="H2">
        <v>841</v>
      </c>
      <c r="J2">
        <v>-187</v>
      </c>
      <c r="K2">
        <v>-77</v>
      </c>
      <c r="L2">
        <v>841</v>
      </c>
      <c r="N2">
        <v>-180.21</v>
      </c>
      <c r="O2">
        <v>-77.239999999999995</v>
      </c>
      <c r="P2">
        <v>821.56</v>
      </c>
      <c r="R2">
        <f t="shared" ref="R2:R16" si="0" xml:space="preserve"> (N2^2+O2^2+P2^2)^0.5</f>
        <v>844.63157370536408</v>
      </c>
      <c r="T2" s="4">
        <v>204.69</v>
      </c>
      <c r="U2" s="4">
        <v>556.92999999999995</v>
      </c>
      <c r="V2" s="4">
        <v>49.71</v>
      </c>
      <c r="X2">
        <f t="shared" ref="X2:Z16" si="1">N2-F2</f>
        <v>4</v>
      </c>
      <c r="Y2">
        <f t="shared" si="1"/>
        <v>0.93000000000000682</v>
      </c>
      <c r="Z2" s="9">
        <f t="shared" si="1"/>
        <v>-19.440000000000055</v>
      </c>
      <c r="AB2">
        <f t="shared" ref="AB2:AD16" si="2">N2-J2</f>
        <v>6.789999999999992</v>
      </c>
      <c r="AC2">
        <f t="shared" si="2"/>
        <v>-0.23999999999999488</v>
      </c>
      <c r="AD2">
        <f t="shared" si="2"/>
        <v>-19.440000000000055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-82.01</v>
      </c>
      <c r="G3">
        <v>-78.17</v>
      </c>
      <c r="H3">
        <v>841</v>
      </c>
      <c r="J3">
        <v>-85</v>
      </c>
      <c r="K3">
        <v>-77</v>
      </c>
      <c r="L3">
        <v>841</v>
      </c>
      <c r="N3">
        <v>-80.459999999999994</v>
      </c>
      <c r="O3">
        <v>-75.27</v>
      </c>
      <c r="P3">
        <v>820.01</v>
      </c>
      <c r="R3">
        <f t="shared" si="0"/>
        <v>827.3788640036679</v>
      </c>
      <c r="T3" s="4">
        <v>104.91</v>
      </c>
      <c r="U3" s="4">
        <v>557.29</v>
      </c>
      <c r="V3" s="4">
        <v>49.83</v>
      </c>
      <c r="X3">
        <f t="shared" si="1"/>
        <v>1.5500000000000114</v>
      </c>
      <c r="Y3">
        <f t="shared" si="1"/>
        <v>2.9000000000000057</v>
      </c>
      <c r="Z3" s="9">
        <f t="shared" si="1"/>
        <v>-20.990000000000009</v>
      </c>
      <c r="AB3">
        <f t="shared" si="2"/>
        <v>4.5400000000000063</v>
      </c>
      <c r="AC3">
        <f t="shared" si="2"/>
        <v>1.730000000000004</v>
      </c>
      <c r="AD3">
        <f t="shared" si="2"/>
        <v>-20.990000000000009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19.850000000000001</v>
      </c>
      <c r="O4">
        <v>-74.03</v>
      </c>
      <c r="P4">
        <v>817.95</v>
      </c>
      <c r="R4">
        <f t="shared" si="0"/>
        <v>821.5331191741451</v>
      </c>
      <c r="T4" s="4">
        <v>4.5599999999999996</v>
      </c>
      <c r="U4" s="4">
        <v>557.33000000000004</v>
      </c>
      <c r="V4" s="4">
        <v>50.79</v>
      </c>
      <c r="X4">
        <f t="shared" si="1"/>
        <v>-0.17999999999999972</v>
      </c>
      <c r="Y4">
        <f t="shared" si="1"/>
        <v>2.2199999999999989</v>
      </c>
      <c r="Z4" s="9">
        <f t="shared" si="1"/>
        <v>-17.049999999999955</v>
      </c>
      <c r="AB4">
        <f t="shared" si="2"/>
        <v>1.8500000000000014</v>
      </c>
      <c r="AC4">
        <f t="shared" si="2"/>
        <v>0.96999999999999886</v>
      </c>
      <c r="AD4">
        <f t="shared" si="2"/>
        <v>-17.049999999999955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728</v>
      </c>
      <c r="D5">
        <v>314</v>
      </c>
      <c r="F5">
        <v>123.91</v>
      </c>
      <c r="G5">
        <v>-74.709999999999994</v>
      </c>
      <c r="H5">
        <v>833</v>
      </c>
      <c r="J5">
        <v>123</v>
      </c>
      <c r="K5">
        <v>-73</v>
      </c>
      <c r="L5">
        <v>833</v>
      </c>
      <c r="N5">
        <v>120.57</v>
      </c>
      <c r="O5">
        <v>-72.28</v>
      </c>
      <c r="P5">
        <v>816.62</v>
      </c>
      <c r="R5">
        <f t="shared" si="0"/>
        <v>828.63124953141858</v>
      </c>
      <c r="T5" s="4">
        <v>-96.18</v>
      </c>
      <c r="U5" s="4">
        <v>557.36</v>
      </c>
      <c r="V5" s="4">
        <v>50.85</v>
      </c>
      <c r="X5">
        <f t="shared" si="1"/>
        <v>-3.3400000000000034</v>
      </c>
      <c r="Y5">
        <f t="shared" si="1"/>
        <v>2.4299999999999926</v>
      </c>
      <c r="Z5" s="9">
        <f t="shared" si="1"/>
        <v>-16.379999999999995</v>
      </c>
      <c r="AB5">
        <f t="shared" si="2"/>
        <v>-2.4300000000000068</v>
      </c>
      <c r="AC5">
        <f t="shared" si="2"/>
        <v>0.71999999999999886</v>
      </c>
      <c r="AD5">
        <f t="shared" si="2"/>
        <v>-16.379999999999995</v>
      </c>
      <c r="AF5" s="10">
        <f t="shared" si="4"/>
        <v>88</v>
      </c>
      <c r="AG5" s="10">
        <f t="shared" si="5"/>
        <v>-46</v>
      </c>
      <c r="AH5">
        <f t="shared" si="3"/>
        <v>99.297532698451278</v>
      </c>
    </row>
    <row r="6" spans="1:34" x14ac:dyDescent="0.25">
      <c r="A6">
        <v>5</v>
      </c>
      <c r="C6">
        <v>805</v>
      </c>
      <c r="D6">
        <v>314</v>
      </c>
      <c r="F6">
        <v>228.38</v>
      </c>
      <c r="G6">
        <v>-74.89</v>
      </c>
      <c r="H6">
        <v>835</v>
      </c>
      <c r="J6">
        <v>228</v>
      </c>
      <c r="K6">
        <v>-73</v>
      </c>
      <c r="L6">
        <v>835</v>
      </c>
      <c r="N6">
        <v>220.47</v>
      </c>
      <c r="O6">
        <v>-70.3</v>
      </c>
      <c r="P6">
        <v>814.86</v>
      </c>
      <c r="R6">
        <f t="shared" si="0"/>
        <v>847.08082878790265</v>
      </c>
      <c r="T6" s="4">
        <v>-196.11</v>
      </c>
      <c r="U6" s="4">
        <v>557.85</v>
      </c>
      <c r="V6" s="4">
        <v>51.14</v>
      </c>
      <c r="X6">
        <f t="shared" si="1"/>
        <v>-7.9099999999999966</v>
      </c>
      <c r="Y6">
        <f t="shared" si="1"/>
        <v>4.5900000000000034</v>
      </c>
      <c r="Z6" s="9">
        <f t="shared" si="1"/>
        <v>-20.139999999999986</v>
      </c>
      <c r="AB6">
        <f t="shared" si="2"/>
        <v>-7.5300000000000011</v>
      </c>
      <c r="AC6">
        <f t="shared" si="2"/>
        <v>2.7000000000000028</v>
      </c>
      <c r="AD6">
        <f t="shared" si="2"/>
        <v>-20.139999999999986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>
        <v>489</v>
      </c>
      <c r="D7">
        <v>373</v>
      </c>
      <c r="F7">
        <v>-187.2</v>
      </c>
      <c r="G7">
        <v>4.9400000000000004</v>
      </c>
      <c r="H7">
        <v>785</v>
      </c>
      <c r="J7">
        <v>-190</v>
      </c>
      <c r="K7">
        <v>7</v>
      </c>
      <c r="L7">
        <v>785</v>
      </c>
      <c r="N7">
        <v>-182.49</v>
      </c>
      <c r="O7">
        <v>3.41</v>
      </c>
      <c r="P7">
        <v>764.51</v>
      </c>
      <c r="R7">
        <f t="shared" si="0"/>
        <v>785.99603580425264</v>
      </c>
      <c r="T7" s="3">
        <v>204.84</v>
      </c>
      <c r="U7" s="3">
        <v>655.75</v>
      </c>
      <c r="V7" s="3">
        <v>49.64</v>
      </c>
      <c r="X7">
        <f t="shared" si="1"/>
        <v>4.7099999999999795</v>
      </c>
      <c r="Y7">
        <f t="shared" si="1"/>
        <v>-1.5300000000000002</v>
      </c>
      <c r="Z7" s="9">
        <f t="shared" si="1"/>
        <v>-20.490000000000009</v>
      </c>
      <c r="AB7">
        <f t="shared" si="2"/>
        <v>7.5099999999999909</v>
      </c>
      <c r="AC7">
        <f t="shared" si="2"/>
        <v>-3.59</v>
      </c>
      <c r="AD7">
        <f t="shared" si="2"/>
        <v>-20.490000000000009</v>
      </c>
      <c r="AF7" s="10">
        <f t="shared" si="4"/>
        <v>-151</v>
      </c>
      <c r="AG7" s="10">
        <f t="shared" si="5"/>
        <v>13</v>
      </c>
      <c r="AH7">
        <f t="shared" si="3"/>
        <v>151.55856953666461</v>
      </c>
    </row>
    <row r="8" spans="1:34" x14ac:dyDescent="0.25">
      <c r="A8">
        <v>7</v>
      </c>
      <c r="C8">
        <v>571</v>
      </c>
      <c r="D8">
        <v>375</v>
      </c>
      <c r="F8">
        <v>-82.7</v>
      </c>
      <c r="G8">
        <v>7.47</v>
      </c>
      <c r="H8">
        <v>783</v>
      </c>
      <c r="J8">
        <v>-85</v>
      </c>
      <c r="K8">
        <v>9</v>
      </c>
      <c r="L8">
        <v>783</v>
      </c>
      <c r="N8">
        <v>-80.88</v>
      </c>
      <c r="O8">
        <v>6.13</v>
      </c>
      <c r="P8">
        <v>762.77</v>
      </c>
      <c r="R8">
        <f t="shared" si="0"/>
        <v>767.07054708155761</v>
      </c>
      <c r="T8" s="3">
        <v>103.19</v>
      </c>
      <c r="U8" s="3">
        <v>656.79</v>
      </c>
      <c r="V8" s="3">
        <v>49.48</v>
      </c>
      <c r="X8">
        <f t="shared" si="1"/>
        <v>1.8200000000000074</v>
      </c>
      <c r="Y8">
        <f t="shared" si="1"/>
        <v>-1.3399999999999999</v>
      </c>
      <c r="Z8" s="9">
        <f t="shared" si="1"/>
        <v>-20.230000000000018</v>
      </c>
      <c r="AB8">
        <f t="shared" si="2"/>
        <v>4.1200000000000045</v>
      </c>
      <c r="AC8">
        <f t="shared" si="2"/>
        <v>-2.87</v>
      </c>
      <c r="AD8">
        <f t="shared" si="2"/>
        <v>-20.230000000000018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>
        <v>652</v>
      </c>
      <c r="D9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18.02</v>
      </c>
      <c r="O9">
        <v>7.31</v>
      </c>
      <c r="P9">
        <v>761.56</v>
      </c>
      <c r="R9">
        <f t="shared" si="0"/>
        <v>761.80823709119863</v>
      </c>
      <c r="T9" s="3">
        <v>4.2699999999999996</v>
      </c>
      <c r="U9" s="3">
        <v>656.32</v>
      </c>
      <c r="V9" s="3">
        <v>49.78</v>
      </c>
      <c r="X9">
        <f t="shared" si="1"/>
        <v>-2.0599999999999987</v>
      </c>
      <c r="Y9">
        <f t="shared" si="1"/>
        <v>-0.17000000000000082</v>
      </c>
      <c r="Z9" s="9">
        <f t="shared" si="1"/>
        <v>-22.440000000000055</v>
      </c>
      <c r="AB9">
        <f t="shared" si="2"/>
        <v>-0.98000000000000043</v>
      </c>
      <c r="AC9">
        <f t="shared" si="2"/>
        <v>-1.6900000000000004</v>
      </c>
      <c r="AD9">
        <f t="shared" si="2"/>
        <v>-22.440000000000055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122.5</v>
      </c>
      <c r="G10">
        <v>7.45</v>
      </c>
      <c r="H10">
        <v>781</v>
      </c>
      <c r="J10">
        <v>122</v>
      </c>
      <c r="K10">
        <v>9</v>
      </c>
      <c r="L10">
        <v>781</v>
      </c>
      <c r="N10">
        <v>118.39</v>
      </c>
      <c r="O10">
        <v>8.4600000000000009</v>
      </c>
      <c r="P10">
        <v>760.63</v>
      </c>
      <c r="R10">
        <f t="shared" si="0"/>
        <v>769.83489177875015</v>
      </c>
      <c r="T10" s="3">
        <v>-96.11</v>
      </c>
      <c r="U10" s="3">
        <v>655.64</v>
      </c>
      <c r="V10" s="3">
        <v>49.87</v>
      </c>
      <c r="X10">
        <f t="shared" si="1"/>
        <v>-4.1099999999999994</v>
      </c>
      <c r="Y10">
        <f t="shared" si="1"/>
        <v>1.0100000000000007</v>
      </c>
      <c r="Z10" s="9">
        <f t="shared" si="1"/>
        <v>-20.370000000000005</v>
      </c>
      <c r="AB10">
        <f t="shared" si="2"/>
        <v>-3.6099999999999994</v>
      </c>
      <c r="AC10">
        <f t="shared" si="2"/>
        <v>-0.53999999999999915</v>
      </c>
      <c r="AD10">
        <f t="shared" si="2"/>
        <v>-20.370000000000005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375</v>
      </c>
      <c r="F11">
        <v>226.26</v>
      </c>
      <c r="G11">
        <v>7.45</v>
      </c>
      <c r="H11">
        <v>781</v>
      </c>
      <c r="J11">
        <v>226</v>
      </c>
      <c r="K11">
        <v>9</v>
      </c>
      <c r="L11">
        <v>781</v>
      </c>
      <c r="N11">
        <v>217.45</v>
      </c>
      <c r="O11">
        <v>10.27</v>
      </c>
      <c r="P11">
        <v>759.11</v>
      </c>
      <c r="R11">
        <f t="shared" si="0"/>
        <v>789.70752022505144</v>
      </c>
      <c r="T11" s="3">
        <v>-195.2</v>
      </c>
      <c r="U11" s="3">
        <v>655.87</v>
      </c>
      <c r="V11" s="3">
        <v>50.06</v>
      </c>
      <c r="X11">
        <f t="shared" si="1"/>
        <v>-8.8100000000000023</v>
      </c>
      <c r="Y11">
        <f t="shared" si="1"/>
        <v>2.8199999999999994</v>
      </c>
      <c r="Z11" s="9">
        <f t="shared" si="1"/>
        <v>-21.889999999999986</v>
      </c>
      <c r="AB11">
        <f t="shared" si="2"/>
        <v>-8.5500000000000114</v>
      </c>
      <c r="AC11">
        <f t="shared" si="2"/>
        <v>1.2699999999999996</v>
      </c>
      <c r="AD11">
        <f t="shared" si="2"/>
        <v>-21.889999999999986</v>
      </c>
      <c r="AF11" s="10">
        <f t="shared" si="4"/>
        <v>175</v>
      </c>
      <c r="AG11" s="10">
        <f t="shared" si="5"/>
        <v>15</v>
      </c>
      <c r="AH11">
        <f t="shared" si="3"/>
        <v>175.64168070250295</v>
      </c>
    </row>
    <row r="12" spans="1:34" x14ac:dyDescent="0.25">
      <c r="A12">
        <v>11</v>
      </c>
      <c r="C12">
        <v>475</v>
      </c>
      <c r="D12">
        <v>447</v>
      </c>
      <c r="F12">
        <v>-189.86</v>
      </c>
      <c r="G12">
        <v>92.1</v>
      </c>
      <c r="H12">
        <v>727</v>
      </c>
      <c r="J12">
        <v>-192</v>
      </c>
      <c r="K12">
        <v>94</v>
      </c>
      <c r="L12">
        <v>727</v>
      </c>
      <c r="N12">
        <v>-184.15</v>
      </c>
      <c r="O12">
        <v>85.4</v>
      </c>
      <c r="P12">
        <v>707.18</v>
      </c>
      <c r="R12">
        <f t="shared" si="0"/>
        <v>735.73632158538976</v>
      </c>
      <c r="T12" s="5">
        <v>204.35</v>
      </c>
      <c r="U12" s="5">
        <v>755.8</v>
      </c>
      <c r="V12" s="5">
        <v>49.03</v>
      </c>
      <c r="X12">
        <f t="shared" si="1"/>
        <v>5.710000000000008</v>
      </c>
      <c r="Y12">
        <f t="shared" si="1"/>
        <v>-6.6999999999999886</v>
      </c>
      <c r="Z12" s="9">
        <f t="shared" si="1"/>
        <v>-19.82000000000005</v>
      </c>
      <c r="AB12">
        <f t="shared" si="2"/>
        <v>7.8499999999999943</v>
      </c>
      <c r="AC12">
        <f t="shared" si="2"/>
        <v>-8.5999999999999943</v>
      </c>
      <c r="AD12">
        <f t="shared" si="2"/>
        <v>-19.82000000000005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-82.67</v>
      </c>
      <c r="G13">
        <v>92.1</v>
      </c>
      <c r="H13">
        <v>727</v>
      </c>
      <c r="J13">
        <v>-85</v>
      </c>
      <c r="K13">
        <v>94</v>
      </c>
      <c r="L13">
        <v>727</v>
      </c>
      <c r="N13">
        <v>-82.26</v>
      </c>
      <c r="O13">
        <v>87.56</v>
      </c>
      <c r="P13">
        <v>705.9</v>
      </c>
      <c r="R13">
        <f t="shared" si="0"/>
        <v>716.05046693651411</v>
      </c>
      <c r="T13" s="5">
        <v>102.44</v>
      </c>
      <c r="U13" s="5">
        <v>756.11</v>
      </c>
      <c r="V13" s="5">
        <v>48.82</v>
      </c>
      <c r="X13">
        <f t="shared" si="1"/>
        <v>0.40999999999999659</v>
      </c>
      <c r="Y13">
        <f t="shared" si="1"/>
        <v>-4.539999999999992</v>
      </c>
      <c r="Z13" s="9">
        <f t="shared" si="1"/>
        <v>-21.100000000000023</v>
      </c>
      <c r="AB13">
        <f t="shared" si="2"/>
        <v>2.7399999999999949</v>
      </c>
      <c r="AC13">
        <f t="shared" si="2"/>
        <v>-6.4399999999999977</v>
      </c>
      <c r="AD13">
        <f t="shared" si="2"/>
        <v>-21.100000000000023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17.27</v>
      </c>
      <c r="G14">
        <v>92.38</v>
      </c>
      <c r="H14">
        <v>720</v>
      </c>
      <c r="J14">
        <v>16</v>
      </c>
      <c r="K14">
        <v>95</v>
      </c>
      <c r="L14">
        <v>720</v>
      </c>
      <c r="N14">
        <v>16.420000000000002</v>
      </c>
      <c r="O14">
        <v>89.45</v>
      </c>
      <c r="P14">
        <v>703.89</v>
      </c>
      <c r="R14">
        <f t="shared" si="0"/>
        <v>709.74083368508536</v>
      </c>
      <c r="T14" s="5">
        <v>3.71</v>
      </c>
      <c r="U14" s="5">
        <v>756.7</v>
      </c>
      <c r="V14" s="5">
        <v>49.36</v>
      </c>
      <c r="X14">
        <f t="shared" si="1"/>
        <v>-0.84999999999999787</v>
      </c>
      <c r="Y14">
        <f t="shared" si="1"/>
        <v>-2.9299999999999926</v>
      </c>
      <c r="Z14" s="9">
        <f t="shared" si="1"/>
        <v>-16.110000000000014</v>
      </c>
      <c r="AB14">
        <f t="shared" si="2"/>
        <v>0.42000000000000171</v>
      </c>
      <c r="AC14">
        <f t="shared" si="2"/>
        <v>-5.5499999999999972</v>
      </c>
      <c r="AD14">
        <f t="shared" si="2"/>
        <v>-16.110000000000014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116.49</v>
      </c>
      <c r="O15">
        <v>91.04</v>
      </c>
      <c r="P15">
        <v>702.42</v>
      </c>
      <c r="R15">
        <f t="shared" si="0"/>
        <v>717.81060043719049</v>
      </c>
      <c r="T15" s="5">
        <v>-96.38</v>
      </c>
      <c r="U15" s="5">
        <v>756.69</v>
      </c>
      <c r="V15" s="5">
        <v>49.64</v>
      </c>
      <c r="X15">
        <f t="shared" si="1"/>
        <v>-4.2700000000000102</v>
      </c>
      <c r="Y15">
        <f t="shared" si="1"/>
        <v>-2.2599999999999909</v>
      </c>
      <c r="Z15" s="9">
        <f t="shared" si="1"/>
        <v>-15.580000000000041</v>
      </c>
      <c r="AB15">
        <f t="shared" si="2"/>
        <v>-3.5100000000000051</v>
      </c>
      <c r="AC15">
        <f t="shared" si="2"/>
        <v>-3.9599999999999937</v>
      </c>
      <c r="AD15">
        <f t="shared" si="2"/>
        <v>-15.580000000000041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224.92</v>
      </c>
      <c r="G16">
        <v>94.73</v>
      </c>
      <c r="H16">
        <v>720</v>
      </c>
      <c r="J16">
        <v>224</v>
      </c>
      <c r="K16">
        <v>96</v>
      </c>
      <c r="L16">
        <v>720</v>
      </c>
      <c r="N16">
        <v>214.84</v>
      </c>
      <c r="O16">
        <v>92.89</v>
      </c>
      <c r="P16">
        <v>700.93</v>
      </c>
      <c r="R16">
        <f t="shared" si="0"/>
        <v>738.97743037253849</v>
      </c>
      <c r="T16" s="5">
        <v>-194.76</v>
      </c>
      <c r="U16" s="5">
        <v>756.95</v>
      </c>
      <c r="V16" s="5">
        <v>49.77</v>
      </c>
      <c r="X16">
        <f t="shared" si="1"/>
        <v>-10.079999999999984</v>
      </c>
      <c r="Y16">
        <f t="shared" si="1"/>
        <v>-1.8400000000000034</v>
      </c>
      <c r="Z16" s="9">
        <f t="shared" si="1"/>
        <v>-19.07000000000005</v>
      </c>
      <c r="AB16">
        <f t="shared" si="2"/>
        <v>-9.1599999999999966</v>
      </c>
      <c r="AC16">
        <f t="shared" si="2"/>
        <v>-3.1099999999999994</v>
      </c>
      <c r="AD16">
        <f t="shared" si="2"/>
        <v>-19.07000000000005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F1" workbookViewId="0">
      <selection activeCell="AC15" sqref="AC15"/>
    </sheetView>
  </sheetViews>
  <sheetFormatPr defaultRowHeight="15" x14ac:dyDescent="0.25"/>
  <sheetData>
    <row r="1" spans="1:34" x14ac:dyDescent="0.25">
      <c r="A1" s="14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-185.3</v>
      </c>
      <c r="G2">
        <v>-78.63</v>
      </c>
      <c r="H2">
        <v>846</v>
      </c>
      <c r="J2">
        <v>-189</v>
      </c>
      <c r="K2">
        <v>-77</v>
      </c>
      <c r="L2">
        <v>846</v>
      </c>
      <c r="N2">
        <v>-180.14</v>
      </c>
      <c r="O2">
        <v>-77.37</v>
      </c>
      <c r="P2">
        <v>821.46</v>
      </c>
      <c r="R2">
        <f t="shared" ref="R2:R16" si="0" xml:space="preserve"> (N2^2+O2^2+P2^2)^0.5</f>
        <v>844.53127123866773</v>
      </c>
      <c r="T2" s="4">
        <v>204.62</v>
      </c>
      <c r="U2" s="4">
        <v>556.88</v>
      </c>
      <c r="V2" s="4">
        <v>49.87</v>
      </c>
      <c r="X2">
        <f t="shared" ref="X2:Z16" si="1">N2-F2</f>
        <v>5.160000000000025</v>
      </c>
      <c r="Y2">
        <f t="shared" si="1"/>
        <v>1.2599999999999909</v>
      </c>
      <c r="Z2" s="9">
        <f t="shared" si="1"/>
        <v>-24.539999999999964</v>
      </c>
      <c r="AB2">
        <f t="shared" ref="AB2:AD16" si="2">N2-J2</f>
        <v>8.8600000000000136</v>
      </c>
      <c r="AC2">
        <f t="shared" si="2"/>
        <v>-0.37000000000000455</v>
      </c>
      <c r="AD2">
        <f t="shared" si="2"/>
        <v>-24.539999999999964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-82.3</v>
      </c>
      <c r="G3">
        <v>-78.45</v>
      </c>
      <c r="H3">
        <v>844</v>
      </c>
      <c r="J3">
        <v>-85</v>
      </c>
      <c r="K3">
        <v>-77</v>
      </c>
      <c r="L3">
        <v>844</v>
      </c>
      <c r="N3">
        <v>-79.87</v>
      </c>
      <c r="O3">
        <v>-75.959999999999994</v>
      </c>
      <c r="P3">
        <v>820.24</v>
      </c>
      <c r="R3">
        <f t="shared" si="0"/>
        <v>827.61270900101579</v>
      </c>
      <c r="T3" s="4">
        <v>104.33</v>
      </c>
      <c r="U3" s="4">
        <v>556.57000000000005</v>
      </c>
      <c r="V3" s="4">
        <v>50.04</v>
      </c>
      <c r="X3">
        <f t="shared" si="1"/>
        <v>2.4299999999999926</v>
      </c>
      <c r="Y3">
        <f t="shared" si="1"/>
        <v>2.4900000000000091</v>
      </c>
      <c r="Z3" s="9">
        <f t="shared" si="1"/>
        <v>-23.759999999999991</v>
      </c>
      <c r="AB3">
        <f t="shared" si="2"/>
        <v>5.1299999999999955</v>
      </c>
      <c r="AC3">
        <f t="shared" si="2"/>
        <v>1.0400000000000063</v>
      </c>
      <c r="AD3">
        <f t="shared" si="2"/>
        <v>-23.759999999999991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20.2</v>
      </c>
      <c r="G4">
        <v>-76.89</v>
      </c>
      <c r="H4">
        <v>842</v>
      </c>
      <c r="J4">
        <v>19</v>
      </c>
      <c r="K4">
        <v>-76</v>
      </c>
      <c r="L4">
        <v>842</v>
      </c>
      <c r="N4">
        <v>19.41</v>
      </c>
      <c r="O4">
        <v>-73.28</v>
      </c>
      <c r="P4">
        <v>818.1</v>
      </c>
      <c r="R4">
        <f t="shared" si="0"/>
        <v>821.60472034914699</v>
      </c>
      <c r="T4" s="4">
        <v>4.99</v>
      </c>
      <c r="U4" s="4">
        <v>557.86</v>
      </c>
      <c r="V4" s="4">
        <v>50.23</v>
      </c>
      <c r="X4">
        <f t="shared" si="1"/>
        <v>-0.78999999999999915</v>
      </c>
      <c r="Y4">
        <f t="shared" si="1"/>
        <v>3.6099999999999994</v>
      </c>
      <c r="Z4" s="9">
        <f t="shared" si="1"/>
        <v>-23.899999999999977</v>
      </c>
      <c r="AB4">
        <f t="shared" si="2"/>
        <v>0.41000000000000014</v>
      </c>
      <c r="AC4">
        <f t="shared" si="2"/>
        <v>2.7199999999999989</v>
      </c>
      <c r="AD4">
        <f t="shared" si="2"/>
        <v>-23.899999999999977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123.59</v>
      </c>
      <c r="G5">
        <v>-76.709999999999994</v>
      </c>
      <c r="H5">
        <v>840</v>
      </c>
      <c r="J5">
        <v>123</v>
      </c>
      <c r="K5">
        <v>-75</v>
      </c>
      <c r="L5">
        <v>840</v>
      </c>
      <c r="N5">
        <v>120.04</v>
      </c>
      <c r="O5">
        <v>-71.349999999999994</v>
      </c>
      <c r="P5">
        <v>816.6</v>
      </c>
      <c r="R5">
        <f t="shared" si="0"/>
        <v>828.45397222778763</v>
      </c>
      <c r="T5" s="4">
        <v>-95.66</v>
      </c>
      <c r="U5" s="4">
        <v>558.14</v>
      </c>
      <c r="V5" s="4">
        <v>50.33</v>
      </c>
      <c r="X5">
        <f t="shared" si="1"/>
        <v>-3.5499999999999972</v>
      </c>
      <c r="Y5">
        <f t="shared" si="1"/>
        <v>5.3599999999999994</v>
      </c>
      <c r="Z5" s="9">
        <f t="shared" si="1"/>
        <v>-23.399999999999977</v>
      </c>
      <c r="AB5">
        <f t="shared" si="2"/>
        <v>-2.9599999999999937</v>
      </c>
      <c r="AC5">
        <f t="shared" si="2"/>
        <v>3.6500000000000057</v>
      </c>
      <c r="AD5">
        <f t="shared" si="2"/>
        <v>-23.399999999999977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804</v>
      </c>
      <c r="D6">
        <v>313</v>
      </c>
      <c r="F6">
        <v>227.84</v>
      </c>
      <c r="G6">
        <v>-76.53</v>
      </c>
      <c r="H6">
        <v>838</v>
      </c>
      <c r="J6">
        <v>227</v>
      </c>
      <c r="K6">
        <v>-75</v>
      </c>
      <c r="L6">
        <v>838</v>
      </c>
      <c r="N6">
        <v>220.24</v>
      </c>
      <c r="O6">
        <v>-70.959999999999994</v>
      </c>
      <c r="P6">
        <v>815.34</v>
      </c>
      <c r="R6">
        <f t="shared" si="0"/>
        <v>847.53778370052623</v>
      </c>
      <c r="T6" s="4">
        <v>-195.86</v>
      </c>
      <c r="U6" s="4">
        <v>557.04</v>
      </c>
      <c r="V6" s="4">
        <v>51.13</v>
      </c>
      <c r="X6">
        <f t="shared" si="1"/>
        <v>-7.5999999999999943</v>
      </c>
      <c r="Y6">
        <f t="shared" si="1"/>
        <v>5.5700000000000074</v>
      </c>
      <c r="Z6" s="9">
        <f t="shared" si="1"/>
        <v>-22.659999999999968</v>
      </c>
      <c r="AB6">
        <f t="shared" si="2"/>
        <v>-6.7599999999999909</v>
      </c>
      <c r="AC6">
        <f t="shared" si="2"/>
        <v>4.0400000000000063</v>
      </c>
      <c r="AD6">
        <f t="shared" si="2"/>
        <v>-22.659999999999968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490</v>
      </c>
      <c r="D7">
        <v>374</v>
      </c>
      <c r="F7">
        <v>-186.64</v>
      </c>
      <c r="G7">
        <v>6.24</v>
      </c>
      <c r="H7">
        <v>788</v>
      </c>
      <c r="J7">
        <v>-190</v>
      </c>
      <c r="K7">
        <v>8</v>
      </c>
      <c r="L7">
        <v>788</v>
      </c>
      <c r="N7">
        <v>-182.66</v>
      </c>
      <c r="O7">
        <v>3.76</v>
      </c>
      <c r="P7">
        <v>764.4</v>
      </c>
      <c r="R7">
        <f t="shared" si="0"/>
        <v>785.93013251815205</v>
      </c>
      <c r="T7" s="3">
        <v>205.01</v>
      </c>
      <c r="U7" s="3">
        <v>656.1</v>
      </c>
      <c r="V7" s="3">
        <v>49.53</v>
      </c>
      <c r="X7">
        <f t="shared" si="1"/>
        <v>3.9799999999999898</v>
      </c>
      <c r="Y7">
        <f t="shared" si="1"/>
        <v>-2.4800000000000004</v>
      </c>
      <c r="Z7" s="9">
        <f t="shared" si="1"/>
        <v>-23.600000000000023</v>
      </c>
      <c r="AB7">
        <f t="shared" si="2"/>
        <v>7.3400000000000034</v>
      </c>
      <c r="AC7">
        <f t="shared" si="2"/>
        <v>-4.24</v>
      </c>
      <c r="AD7">
        <f t="shared" si="2"/>
        <v>-23.600000000000023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572</v>
      </c>
      <c r="D8">
        <v>374</v>
      </c>
      <c r="F8">
        <v>-81.95</v>
      </c>
      <c r="G8">
        <v>6.24</v>
      </c>
      <c r="H8">
        <v>788</v>
      </c>
      <c r="J8">
        <v>-85</v>
      </c>
      <c r="K8">
        <v>8</v>
      </c>
      <c r="L8">
        <v>788</v>
      </c>
      <c r="N8">
        <v>-81.17</v>
      </c>
      <c r="O8">
        <v>5.91</v>
      </c>
      <c r="P8">
        <v>763.09</v>
      </c>
      <c r="R8">
        <f t="shared" si="0"/>
        <v>767.41764711270491</v>
      </c>
      <c r="T8" s="3">
        <v>103.49</v>
      </c>
      <c r="U8" s="3">
        <v>656.43</v>
      </c>
      <c r="V8" s="3">
        <v>49.35</v>
      </c>
      <c r="X8">
        <f t="shared" si="1"/>
        <v>0.78000000000000114</v>
      </c>
      <c r="Y8">
        <f t="shared" si="1"/>
        <v>-0.33000000000000007</v>
      </c>
      <c r="Z8" s="9">
        <f t="shared" si="1"/>
        <v>-24.909999999999968</v>
      </c>
      <c r="AB8">
        <f t="shared" si="2"/>
        <v>3.8299999999999983</v>
      </c>
      <c r="AC8">
        <f t="shared" si="2"/>
        <v>-2.09</v>
      </c>
      <c r="AD8">
        <f t="shared" si="2"/>
        <v>-24.909999999999968</v>
      </c>
      <c r="AF8" s="10">
        <f t="shared" si="4"/>
        <v>-68</v>
      </c>
      <c r="AG8" s="10">
        <f t="shared" si="5"/>
        <v>14</v>
      </c>
      <c r="AH8">
        <f t="shared" si="3"/>
        <v>69.426219830839131</v>
      </c>
    </row>
    <row r="9" spans="1:34" x14ac:dyDescent="0.25">
      <c r="A9">
        <v>8</v>
      </c>
      <c r="C9">
        <v>652</v>
      </c>
      <c r="D9">
        <v>374</v>
      </c>
      <c r="F9">
        <v>20.18</v>
      </c>
      <c r="G9">
        <v>6.24</v>
      </c>
      <c r="H9">
        <v>788</v>
      </c>
      <c r="J9">
        <v>19</v>
      </c>
      <c r="K9">
        <v>8</v>
      </c>
      <c r="L9">
        <v>788</v>
      </c>
      <c r="N9">
        <v>17.829999999999998</v>
      </c>
      <c r="O9">
        <v>6.59</v>
      </c>
      <c r="P9">
        <v>762.06</v>
      </c>
      <c r="R9">
        <f t="shared" si="0"/>
        <v>762.29704223484953</v>
      </c>
      <c r="T9" s="3">
        <v>4.4800000000000004</v>
      </c>
      <c r="U9" s="3">
        <v>655.45</v>
      </c>
      <c r="V9" s="3">
        <v>49.79</v>
      </c>
      <c r="X9">
        <f t="shared" si="1"/>
        <v>-2.3500000000000014</v>
      </c>
      <c r="Y9">
        <f t="shared" si="1"/>
        <v>0.34999999999999964</v>
      </c>
      <c r="Z9" s="9">
        <f t="shared" si="1"/>
        <v>-25.940000000000055</v>
      </c>
      <c r="AB9">
        <f t="shared" si="2"/>
        <v>-1.1700000000000017</v>
      </c>
      <c r="AC9">
        <f t="shared" si="2"/>
        <v>-1.4100000000000001</v>
      </c>
      <c r="AD9">
        <f t="shared" si="2"/>
        <v>-25.940000000000055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123.13</v>
      </c>
      <c r="G10">
        <v>7.49</v>
      </c>
      <c r="H10">
        <v>785</v>
      </c>
      <c r="J10">
        <v>123</v>
      </c>
      <c r="K10">
        <v>9</v>
      </c>
      <c r="L10">
        <v>785</v>
      </c>
      <c r="N10">
        <v>117.47</v>
      </c>
      <c r="O10">
        <v>8.9</v>
      </c>
      <c r="P10">
        <v>760.07</v>
      </c>
      <c r="R10">
        <f t="shared" si="0"/>
        <v>769.1455101604638</v>
      </c>
      <c r="T10" s="3">
        <v>-95.2</v>
      </c>
      <c r="U10" s="3">
        <v>656.34</v>
      </c>
      <c r="V10" s="3">
        <v>50.07</v>
      </c>
      <c r="X10">
        <f t="shared" si="1"/>
        <v>-5.6599999999999966</v>
      </c>
      <c r="Y10">
        <f t="shared" si="1"/>
        <v>1.4100000000000001</v>
      </c>
      <c r="Z10" s="9">
        <f t="shared" si="1"/>
        <v>-24.92999999999995</v>
      </c>
      <c r="AB10">
        <f t="shared" si="2"/>
        <v>-5.5300000000000011</v>
      </c>
      <c r="AC10">
        <f t="shared" si="2"/>
        <v>-9.9999999999999645E-2</v>
      </c>
      <c r="AD10">
        <f t="shared" si="2"/>
        <v>-24.92999999999995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814</v>
      </c>
      <c r="D11">
        <v>376</v>
      </c>
      <c r="F11">
        <v>225.29</v>
      </c>
      <c r="G11">
        <v>8.73</v>
      </c>
      <c r="H11">
        <v>782</v>
      </c>
      <c r="J11">
        <v>225</v>
      </c>
      <c r="K11">
        <v>10</v>
      </c>
      <c r="L11">
        <v>782</v>
      </c>
      <c r="N11">
        <v>217.74</v>
      </c>
      <c r="O11">
        <v>10.49</v>
      </c>
      <c r="P11">
        <v>758.62</v>
      </c>
      <c r="R11">
        <f t="shared" si="0"/>
        <v>789.3193600184909</v>
      </c>
      <c r="T11" s="3">
        <v>-195.23</v>
      </c>
      <c r="U11" s="3">
        <v>656.33</v>
      </c>
      <c r="V11" s="3">
        <v>50.33</v>
      </c>
      <c r="X11">
        <f t="shared" si="1"/>
        <v>-7.5499999999999829</v>
      </c>
      <c r="Y11">
        <f t="shared" si="1"/>
        <v>1.7599999999999998</v>
      </c>
      <c r="Z11" s="9">
        <f t="shared" si="1"/>
        <v>-23.379999999999995</v>
      </c>
      <c r="AB11">
        <f t="shared" si="2"/>
        <v>-7.2599999999999909</v>
      </c>
      <c r="AC11">
        <f t="shared" si="2"/>
        <v>0.49000000000000021</v>
      </c>
      <c r="AD11">
        <f t="shared" si="2"/>
        <v>-23.379999999999995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477</v>
      </c>
      <c r="D12">
        <v>446</v>
      </c>
      <c r="F12">
        <v>-188.54</v>
      </c>
      <c r="G12">
        <v>91.42</v>
      </c>
      <c r="H12">
        <v>731</v>
      </c>
      <c r="J12">
        <v>-191</v>
      </c>
      <c r="K12">
        <v>93</v>
      </c>
      <c r="L12">
        <v>731</v>
      </c>
      <c r="N12">
        <v>-184.39</v>
      </c>
      <c r="O12">
        <v>85.96</v>
      </c>
      <c r="P12">
        <v>706.75</v>
      </c>
      <c r="R12">
        <f t="shared" si="0"/>
        <v>735.44840485244106</v>
      </c>
      <c r="T12" s="5">
        <v>204.58</v>
      </c>
      <c r="U12" s="5">
        <v>756.51</v>
      </c>
      <c r="V12" s="5">
        <v>49.06</v>
      </c>
      <c r="X12">
        <f t="shared" si="1"/>
        <v>4.1500000000000057</v>
      </c>
      <c r="Y12">
        <f t="shared" si="1"/>
        <v>-5.460000000000008</v>
      </c>
      <c r="Z12" s="9">
        <f t="shared" si="1"/>
        <v>-24.25</v>
      </c>
      <c r="AB12">
        <f t="shared" si="2"/>
        <v>6.6100000000000136</v>
      </c>
      <c r="AC12">
        <f t="shared" si="2"/>
        <v>-7.0400000000000063</v>
      </c>
      <c r="AD12">
        <f t="shared" si="2"/>
        <v>-24.25</v>
      </c>
      <c r="AF12" s="10">
        <f t="shared" si="4"/>
        <v>-163</v>
      </c>
      <c r="AG12" s="10">
        <f t="shared" si="5"/>
        <v>86</v>
      </c>
      <c r="AH12">
        <f t="shared" si="3"/>
        <v>184.29595763336752</v>
      </c>
    </row>
    <row r="13" spans="1:34" x14ac:dyDescent="0.25">
      <c r="A13">
        <v>12</v>
      </c>
      <c r="C13">
        <v>567</v>
      </c>
      <c r="D13">
        <v>447</v>
      </c>
      <c r="F13">
        <v>-81.72</v>
      </c>
      <c r="G13">
        <v>92.35</v>
      </c>
      <c r="H13">
        <v>729</v>
      </c>
      <c r="J13">
        <v>-84</v>
      </c>
      <c r="K13">
        <v>94</v>
      </c>
      <c r="L13">
        <v>729</v>
      </c>
      <c r="N13">
        <v>-81.63</v>
      </c>
      <c r="O13">
        <v>87.26</v>
      </c>
      <c r="P13">
        <v>705.64</v>
      </c>
      <c r="R13">
        <f t="shared" si="0"/>
        <v>715.68538765298263</v>
      </c>
      <c r="T13" s="5">
        <v>101.81</v>
      </c>
      <c r="U13" s="5">
        <v>756.01</v>
      </c>
      <c r="V13" s="5">
        <v>49.21</v>
      </c>
      <c r="X13">
        <f t="shared" si="1"/>
        <v>9.0000000000003411E-2</v>
      </c>
      <c r="Y13">
        <f t="shared" si="1"/>
        <v>-5.0899999999999892</v>
      </c>
      <c r="Z13" s="9">
        <f t="shared" si="1"/>
        <v>-23.360000000000014</v>
      </c>
      <c r="AB13">
        <f t="shared" si="2"/>
        <v>2.3700000000000045</v>
      </c>
      <c r="AC13">
        <f t="shared" si="2"/>
        <v>-6.7399999999999949</v>
      </c>
      <c r="AD13">
        <f t="shared" si="2"/>
        <v>-23.360000000000014</v>
      </c>
      <c r="AF13" s="10">
        <f t="shared" si="4"/>
        <v>-73</v>
      </c>
      <c r="AG13" s="10">
        <f t="shared" si="5"/>
        <v>87</v>
      </c>
      <c r="AH13">
        <f t="shared" si="3"/>
        <v>113.56936206565572</v>
      </c>
    </row>
    <row r="14" spans="1:34" x14ac:dyDescent="0.25">
      <c r="A14">
        <v>13</v>
      </c>
      <c r="C14">
        <v>652</v>
      </c>
      <c r="D14">
        <v>447</v>
      </c>
      <c r="F14">
        <v>18.62</v>
      </c>
      <c r="G14">
        <v>92.1</v>
      </c>
      <c r="H14">
        <v>727</v>
      </c>
      <c r="J14">
        <v>17</v>
      </c>
      <c r="K14">
        <v>94</v>
      </c>
      <c r="L14">
        <v>727</v>
      </c>
      <c r="N14">
        <v>16.05</v>
      </c>
      <c r="O14">
        <v>89.1</v>
      </c>
      <c r="P14">
        <v>704.37</v>
      </c>
      <c r="R14">
        <f t="shared" si="0"/>
        <v>710.16442420048043</v>
      </c>
      <c r="T14" s="5">
        <v>4.09</v>
      </c>
      <c r="U14" s="5">
        <v>756.14</v>
      </c>
      <c r="V14" s="5">
        <v>49.17</v>
      </c>
      <c r="X14">
        <f t="shared" si="1"/>
        <v>-2.5700000000000003</v>
      </c>
      <c r="Y14">
        <f t="shared" si="1"/>
        <v>-3</v>
      </c>
      <c r="Z14" s="9">
        <f t="shared" si="1"/>
        <v>-22.629999999999995</v>
      </c>
      <c r="AB14">
        <f t="shared" si="2"/>
        <v>-0.94999999999999929</v>
      </c>
      <c r="AC14">
        <f t="shared" si="2"/>
        <v>-4.9000000000000057</v>
      </c>
      <c r="AD14">
        <f t="shared" si="2"/>
        <v>-22.629999999999995</v>
      </c>
      <c r="AF14" s="10">
        <f t="shared" si="4"/>
        <v>12</v>
      </c>
      <c r="AG14" s="10">
        <f t="shared" si="5"/>
        <v>87</v>
      </c>
      <c r="AH14">
        <f t="shared" si="3"/>
        <v>87.823687009826685</v>
      </c>
    </row>
    <row r="15" spans="1:34" x14ac:dyDescent="0.25">
      <c r="A15">
        <v>14</v>
      </c>
      <c r="C15">
        <v>740</v>
      </c>
      <c r="D15">
        <v>449</v>
      </c>
      <c r="F15" s="7">
        <v>121.94</v>
      </c>
      <c r="G15">
        <v>94.21</v>
      </c>
      <c r="H15">
        <v>725</v>
      </c>
      <c r="J15">
        <v>121</v>
      </c>
      <c r="K15">
        <v>96</v>
      </c>
      <c r="L15">
        <v>725</v>
      </c>
      <c r="N15">
        <v>116.93</v>
      </c>
      <c r="O15">
        <v>91.72</v>
      </c>
      <c r="P15">
        <v>702.49</v>
      </c>
      <c r="R15">
        <f t="shared" si="0"/>
        <v>718.03717410730201</v>
      </c>
      <c r="T15" s="5">
        <v>-96.83</v>
      </c>
      <c r="U15" s="5">
        <v>757.2</v>
      </c>
      <c r="V15" s="5">
        <v>49.19</v>
      </c>
      <c r="X15">
        <f t="shared" si="1"/>
        <v>-5.0099999999999909</v>
      </c>
      <c r="Y15">
        <f t="shared" si="1"/>
        <v>-2.4899999999999949</v>
      </c>
      <c r="Z15" s="9">
        <f t="shared" si="1"/>
        <v>-22.509999999999991</v>
      </c>
      <c r="AB15">
        <f t="shared" si="2"/>
        <v>-4.0699999999999932</v>
      </c>
      <c r="AC15">
        <f t="shared" si="2"/>
        <v>-4.2800000000000011</v>
      </c>
      <c r="AD15">
        <f t="shared" si="2"/>
        <v>-22.509999999999991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828</v>
      </c>
      <c r="D16">
        <v>449</v>
      </c>
      <c r="F16">
        <v>225.31</v>
      </c>
      <c r="G16">
        <v>94.21</v>
      </c>
      <c r="H16">
        <v>725</v>
      </c>
      <c r="J16">
        <v>224</v>
      </c>
      <c r="K16">
        <v>96</v>
      </c>
      <c r="L16">
        <v>725</v>
      </c>
      <c r="N16">
        <v>214.82</v>
      </c>
      <c r="O16">
        <v>91.79</v>
      </c>
      <c r="P16">
        <v>701.09</v>
      </c>
      <c r="R16">
        <f t="shared" si="0"/>
        <v>738.9859434387098</v>
      </c>
      <c r="T16" s="5">
        <v>-194.72</v>
      </c>
      <c r="U16" s="5">
        <v>755.96</v>
      </c>
      <c r="V16" s="5">
        <v>50.28</v>
      </c>
      <c r="X16">
        <f t="shared" si="1"/>
        <v>-10.490000000000009</v>
      </c>
      <c r="Y16">
        <f t="shared" si="1"/>
        <v>-2.4199999999999875</v>
      </c>
      <c r="Z16" s="9">
        <f t="shared" si="1"/>
        <v>-23.909999999999968</v>
      </c>
      <c r="AB16">
        <f t="shared" si="2"/>
        <v>-9.1800000000000068</v>
      </c>
      <c r="AC16">
        <f t="shared" si="2"/>
        <v>-4.2099999999999937</v>
      </c>
      <c r="AD16">
        <f t="shared" si="2"/>
        <v>-23.909999999999968</v>
      </c>
      <c r="AF16" s="10">
        <f t="shared" si="4"/>
        <v>188</v>
      </c>
      <c r="AG16" s="10">
        <f t="shared" si="5"/>
        <v>89</v>
      </c>
      <c r="AH16">
        <f t="shared" si="3"/>
        <v>208.00240383226344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abSelected="1" topLeftCell="F1" workbookViewId="0">
      <selection activeCell="M16" sqref="M16"/>
    </sheetView>
  </sheetViews>
  <sheetFormatPr defaultRowHeight="15" x14ac:dyDescent="0.25"/>
  <sheetData>
    <row r="1" spans="1:34" x14ac:dyDescent="0.25">
      <c r="A1" s="13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-185.79</v>
      </c>
      <c r="G2">
        <v>-78.260000000000005</v>
      </c>
      <c r="H2">
        <v>842</v>
      </c>
      <c r="J2">
        <v>-189</v>
      </c>
      <c r="K2">
        <v>-77</v>
      </c>
      <c r="L2">
        <v>842</v>
      </c>
      <c r="N2">
        <v>-179.81</v>
      </c>
      <c r="O2">
        <v>-76.98</v>
      </c>
      <c r="P2">
        <v>820.82</v>
      </c>
      <c r="R2">
        <f t="shared" ref="R2:R16" si="0" xml:space="preserve"> (N2^2+O2^2+P2^2)^0.5</f>
        <v>843.80271918262986</v>
      </c>
      <c r="T2" s="4">
        <v>204.27</v>
      </c>
      <c r="U2" s="4">
        <v>557.55999999999995</v>
      </c>
      <c r="V2" s="4">
        <v>50.16</v>
      </c>
      <c r="X2">
        <f t="shared" ref="X2:Z16" si="1">N2-F2</f>
        <v>5.9799999999999898</v>
      </c>
      <c r="Y2">
        <f t="shared" si="1"/>
        <v>1.2800000000000011</v>
      </c>
      <c r="Z2" s="9">
        <f t="shared" si="1"/>
        <v>-21.17999999999995</v>
      </c>
      <c r="AB2">
        <f t="shared" ref="AB2:AD16" si="2">N2-J2</f>
        <v>9.1899999999999977</v>
      </c>
      <c r="AC2">
        <f t="shared" si="2"/>
        <v>1.9999999999996021E-2</v>
      </c>
      <c r="AD2">
        <f t="shared" si="2"/>
        <v>-21.17999999999995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-80.84</v>
      </c>
      <c r="G3">
        <v>-78.349999999999994</v>
      </c>
      <c r="H3">
        <v>843</v>
      </c>
      <c r="J3">
        <v>-84</v>
      </c>
      <c r="K3">
        <v>-77</v>
      </c>
      <c r="L3">
        <v>843</v>
      </c>
      <c r="N3">
        <v>-79.63</v>
      </c>
      <c r="O3">
        <v>-75.44</v>
      </c>
      <c r="P3">
        <v>819.91</v>
      </c>
      <c r="R3">
        <f t="shared" si="0"/>
        <v>827.21492890300283</v>
      </c>
      <c r="T3" s="4">
        <v>104.08</v>
      </c>
      <c r="U3" s="4">
        <v>557.19000000000005</v>
      </c>
      <c r="V3" s="4">
        <v>50.01</v>
      </c>
      <c r="X3">
        <f t="shared" si="1"/>
        <v>1.210000000000008</v>
      </c>
      <c r="Y3">
        <f t="shared" si="1"/>
        <v>2.9099999999999966</v>
      </c>
      <c r="Z3" s="9">
        <f t="shared" si="1"/>
        <v>-23.090000000000032</v>
      </c>
      <c r="AB3">
        <f t="shared" si="2"/>
        <v>4.3700000000000045</v>
      </c>
      <c r="AC3">
        <f t="shared" si="2"/>
        <v>1.5600000000000023</v>
      </c>
      <c r="AD3">
        <f t="shared" si="2"/>
        <v>-23.090000000000032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651</v>
      </c>
      <c r="D4">
        <v>313</v>
      </c>
      <c r="F4">
        <v>20.13</v>
      </c>
      <c r="G4">
        <v>-76.62</v>
      </c>
      <c r="H4">
        <v>839</v>
      </c>
      <c r="J4">
        <v>18</v>
      </c>
      <c r="K4">
        <v>-75</v>
      </c>
      <c r="L4">
        <v>839</v>
      </c>
      <c r="N4">
        <v>19.47</v>
      </c>
      <c r="O4">
        <v>-73.42</v>
      </c>
      <c r="P4">
        <v>819.38</v>
      </c>
      <c r="R4">
        <f t="shared" si="0"/>
        <v>822.89316542307006</v>
      </c>
      <c r="T4" s="4">
        <v>4.95</v>
      </c>
      <c r="U4" s="4">
        <v>557.01</v>
      </c>
      <c r="V4" s="4">
        <v>49.27</v>
      </c>
      <c r="X4">
        <f t="shared" si="1"/>
        <v>-0.66000000000000014</v>
      </c>
      <c r="Y4">
        <f t="shared" si="1"/>
        <v>3.2000000000000028</v>
      </c>
      <c r="Z4" s="9">
        <f t="shared" si="1"/>
        <v>-19.620000000000005</v>
      </c>
      <c r="AB4">
        <f t="shared" si="2"/>
        <v>1.4699999999999989</v>
      </c>
      <c r="AC4">
        <f t="shared" si="2"/>
        <v>1.5799999999999983</v>
      </c>
      <c r="AD4">
        <f t="shared" si="2"/>
        <v>-19.620000000000005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118.42</v>
      </c>
      <c r="O5">
        <v>-72.14</v>
      </c>
      <c r="P5">
        <v>816.55</v>
      </c>
      <c r="R5">
        <f t="shared" si="0"/>
        <v>828.23992810054744</v>
      </c>
      <c r="T5" s="4">
        <v>-94.03</v>
      </c>
      <c r="U5" s="4">
        <v>557.55999999999995</v>
      </c>
      <c r="V5" s="4">
        <v>50.83</v>
      </c>
      <c r="X5">
        <f t="shared" si="1"/>
        <v>-4.730000000000004</v>
      </c>
      <c r="Y5">
        <f t="shared" si="1"/>
        <v>4.2999999999999972</v>
      </c>
      <c r="Z5" s="9">
        <f t="shared" si="1"/>
        <v>-20.450000000000045</v>
      </c>
      <c r="AB5">
        <f t="shared" si="2"/>
        <v>-4.5799999999999983</v>
      </c>
      <c r="AC5">
        <f t="shared" si="2"/>
        <v>2.8599999999999994</v>
      </c>
      <c r="AD5">
        <f t="shared" si="2"/>
        <v>-20.450000000000045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805</v>
      </c>
      <c r="D6">
        <v>313</v>
      </c>
      <c r="F6">
        <v>227.56</v>
      </c>
      <c r="G6">
        <v>-75.98</v>
      </c>
      <c r="H6">
        <v>832</v>
      </c>
      <c r="J6">
        <v>227</v>
      </c>
      <c r="K6">
        <v>-74</v>
      </c>
      <c r="L6">
        <v>832</v>
      </c>
      <c r="N6">
        <v>221.06</v>
      </c>
      <c r="O6">
        <v>-69.77</v>
      </c>
      <c r="P6">
        <v>814.82</v>
      </c>
      <c r="R6">
        <f t="shared" si="0"/>
        <v>847.15229380554717</v>
      </c>
      <c r="T6" s="4">
        <v>-196.71</v>
      </c>
      <c r="U6" s="4">
        <v>558.29</v>
      </c>
      <c r="V6" s="4">
        <v>50.87</v>
      </c>
      <c r="X6">
        <f t="shared" si="1"/>
        <v>-6.5</v>
      </c>
      <c r="Y6">
        <f t="shared" si="1"/>
        <v>6.210000000000008</v>
      </c>
      <c r="Z6" s="9">
        <f t="shared" si="1"/>
        <v>-17.17999999999995</v>
      </c>
      <c r="AB6">
        <f t="shared" si="2"/>
        <v>-5.9399999999999977</v>
      </c>
      <c r="AC6">
        <f t="shared" si="2"/>
        <v>4.230000000000004</v>
      </c>
      <c r="AD6">
        <f t="shared" si="2"/>
        <v>-17.17999999999995</v>
      </c>
      <c r="AF6" s="10">
        <f t="shared" si="4"/>
        <v>165</v>
      </c>
      <c r="AG6" s="10">
        <f t="shared" si="5"/>
        <v>-47</v>
      </c>
      <c r="AH6">
        <f t="shared" si="3"/>
        <v>171.56339936011994</v>
      </c>
    </row>
    <row r="7" spans="1:34" x14ac:dyDescent="0.25">
      <c r="A7">
        <v>6</v>
      </c>
      <c r="C7">
        <v>489</v>
      </c>
      <c r="D7">
        <v>374</v>
      </c>
      <c r="F7">
        <v>-186.73</v>
      </c>
      <c r="G7">
        <v>6.2</v>
      </c>
      <c r="H7">
        <v>783</v>
      </c>
      <c r="J7">
        <v>-190</v>
      </c>
      <c r="K7">
        <v>8</v>
      </c>
      <c r="L7">
        <v>783</v>
      </c>
      <c r="N7">
        <v>-182.72</v>
      </c>
      <c r="O7">
        <v>4.18</v>
      </c>
      <c r="P7">
        <v>763.92</v>
      </c>
      <c r="R7">
        <f t="shared" si="0"/>
        <v>785.47936777486393</v>
      </c>
      <c r="T7" s="3">
        <v>205.05</v>
      </c>
      <c r="U7" s="3">
        <v>656.72</v>
      </c>
      <c r="V7" s="3">
        <v>49.68</v>
      </c>
      <c r="X7">
        <f t="shared" si="1"/>
        <v>4.0099999999999909</v>
      </c>
      <c r="Y7">
        <f t="shared" si="1"/>
        <v>-2.0200000000000005</v>
      </c>
      <c r="Z7" s="9">
        <f t="shared" si="1"/>
        <v>-19.080000000000041</v>
      </c>
      <c r="AB7">
        <f t="shared" si="2"/>
        <v>7.2800000000000011</v>
      </c>
      <c r="AC7">
        <f t="shared" si="2"/>
        <v>-3.8200000000000003</v>
      </c>
      <c r="AD7">
        <f t="shared" si="2"/>
        <v>-19.080000000000041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-82.7</v>
      </c>
      <c r="G8">
        <v>6.2</v>
      </c>
      <c r="H8">
        <v>783</v>
      </c>
      <c r="J8">
        <v>-85</v>
      </c>
      <c r="K8">
        <v>8</v>
      </c>
      <c r="L8">
        <v>783</v>
      </c>
      <c r="N8">
        <v>-81.61</v>
      </c>
      <c r="O8">
        <v>5.0599999999999996</v>
      </c>
      <c r="P8">
        <v>763.15</v>
      </c>
      <c r="R8">
        <f t="shared" si="0"/>
        <v>767.51789438422873</v>
      </c>
      <c r="T8" s="3">
        <v>103.94</v>
      </c>
      <c r="U8" s="3">
        <v>655.71</v>
      </c>
      <c r="V8" s="3">
        <v>49.79</v>
      </c>
      <c r="X8">
        <f t="shared" si="1"/>
        <v>1.0900000000000034</v>
      </c>
      <c r="Y8">
        <f t="shared" si="1"/>
        <v>-1.1400000000000006</v>
      </c>
      <c r="Z8" s="9">
        <f t="shared" si="1"/>
        <v>-19.850000000000023</v>
      </c>
      <c r="AB8">
        <f t="shared" si="2"/>
        <v>3.3900000000000006</v>
      </c>
      <c r="AC8">
        <f t="shared" si="2"/>
        <v>-2.9400000000000004</v>
      </c>
      <c r="AD8">
        <f t="shared" si="2"/>
        <v>-19.850000000000023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374</v>
      </c>
      <c r="F9">
        <v>20.079999999999998</v>
      </c>
      <c r="G9">
        <v>6.2</v>
      </c>
      <c r="H9">
        <v>784</v>
      </c>
      <c r="J9">
        <v>19</v>
      </c>
      <c r="K9">
        <v>8</v>
      </c>
      <c r="L9">
        <v>784</v>
      </c>
      <c r="N9">
        <v>17.739999999999998</v>
      </c>
      <c r="O9">
        <v>7.04</v>
      </c>
      <c r="P9">
        <v>762.22</v>
      </c>
      <c r="R9">
        <f t="shared" si="0"/>
        <v>762.45891535216504</v>
      </c>
      <c r="T9" s="3">
        <v>4.5599999999999996</v>
      </c>
      <c r="U9" s="3">
        <v>655.73</v>
      </c>
      <c r="V9" s="3">
        <v>49.4</v>
      </c>
      <c r="X9">
        <f t="shared" si="1"/>
        <v>-2.34</v>
      </c>
      <c r="Y9">
        <f t="shared" si="1"/>
        <v>0.83999999999999986</v>
      </c>
      <c r="Z9" s="9">
        <f t="shared" si="1"/>
        <v>-21.779999999999973</v>
      </c>
      <c r="AB9">
        <f t="shared" si="2"/>
        <v>-1.2600000000000016</v>
      </c>
      <c r="AC9">
        <f t="shared" si="2"/>
        <v>-0.96</v>
      </c>
      <c r="AD9">
        <f t="shared" si="2"/>
        <v>-21.779999999999973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122.34</v>
      </c>
      <c r="G10">
        <v>7.44</v>
      </c>
      <c r="H10">
        <v>780</v>
      </c>
      <c r="J10">
        <v>122</v>
      </c>
      <c r="K10">
        <v>9</v>
      </c>
      <c r="L10">
        <v>780</v>
      </c>
      <c r="N10">
        <v>118.35</v>
      </c>
      <c r="O10">
        <v>8.9499999999999993</v>
      </c>
      <c r="P10">
        <v>759.74</v>
      </c>
      <c r="R10">
        <f t="shared" si="0"/>
        <v>768.95493535057039</v>
      </c>
      <c r="T10" s="3">
        <v>-96.09</v>
      </c>
      <c r="U10" s="3">
        <v>656.56</v>
      </c>
      <c r="V10" s="3">
        <v>50.31</v>
      </c>
      <c r="X10">
        <f t="shared" si="1"/>
        <v>-3.9900000000000091</v>
      </c>
      <c r="Y10">
        <f t="shared" si="1"/>
        <v>1.5099999999999989</v>
      </c>
      <c r="Z10" s="9">
        <f t="shared" si="1"/>
        <v>-20.259999999999991</v>
      </c>
      <c r="AB10">
        <f t="shared" si="2"/>
        <v>-3.6500000000000057</v>
      </c>
      <c r="AC10">
        <f t="shared" si="2"/>
        <v>-5.0000000000000711E-2</v>
      </c>
      <c r="AD10">
        <f t="shared" si="2"/>
        <v>-20.259999999999991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816</v>
      </c>
      <c r="D11">
        <v>375</v>
      </c>
      <c r="F11">
        <v>226.36</v>
      </c>
      <c r="G11">
        <v>7.41</v>
      </c>
      <c r="H11">
        <v>777</v>
      </c>
      <c r="J11">
        <v>226</v>
      </c>
      <c r="K11">
        <v>9</v>
      </c>
      <c r="L11">
        <v>777</v>
      </c>
      <c r="N11">
        <v>218.13</v>
      </c>
      <c r="O11">
        <v>10</v>
      </c>
      <c r="P11">
        <v>758.5</v>
      </c>
      <c r="R11">
        <f t="shared" si="0"/>
        <v>789.30535719707359</v>
      </c>
      <c r="T11" s="3">
        <v>-195.88</v>
      </c>
      <c r="U11" s="3">
        <v>655.99</v>
      </c>
      <c r="V11" s="3">
        <v>50.71</v>
      </c>
      <c r="X11">
        <f t="shared" si="1"/>
        <v>-8.2300000000000182</v>
      </c>
      <c r="Y11">
        <f t="shared" si="1"/>
        <v>2.59</v>
      </c>
      <c r="Z11" s="9">
        <f t="shared" si="1"/>
        <v>-18.5</v>
      </c>
      <c r="AB11">
        <f t="shared" si="2"/>
        <v>-7.8700000000000045</v>
      </c>
      <c r="AC11">
        <f t="shared" si="2"/>
        <v>1</v>
      </c>
      <c r="AD11">
        <f t="shared" si="2"/>
        <v>-18.5</v>
      </c>
      <c r="AF11" s="10">
        <f t="shared" si="4"/>
        <v>176</v>
      </c>
      <c r="AG11" s="10">
        <f t="shared" si="5"/>
        <v>15</v>
      </c>
      <c r="AH11">
        <f t="shared" si="3"/>
        <v>176.63804799646084</v>
      </c>
    </row>
    <row r="12" spans="1:34" x14ac:dyDescent="0.25">
      <c r="A12">
        <v>11</v>
      </c>
      <c r="C12">
        <v>475</v>
      </c>
      <c r="D12">
        <v>446</v>
      </c>
      <c r="F12">
        <v>-190.12</v>
      </c>
      <c r="G12">
        <v>91.04</v>
      </c>
      <c r="H12">
        <v>728</v>
      </c>
      <c r="J12">
        <v>-193</v>
      </c>
      <c r="K12">
        <v>93</v>
      </c>
      <c r="L12">
        <v>728</v>
      </c>
      <c r="N12">
        <v>-184.92</v>
      </c>
      <c r="O12">
        <v>86.49</v>
      </c>
      <c r="P12">
        <v>707.27</v>
      </c>
      <c r="R12">
        <f t="shared" si="0"/>
        <v>736.14317860046765</v>
      </c>
      <c r="T12" s="5">
        <v>205.11</v>
      </c>
      <c r="U12" s="5">
        <v>756.66</v>
      </c>
      <c r="V12" s="5">
        <v>48.33</v>
      </c>
      <c r="X12">
        <f t="shared" si="1"/>
        <v>5.2000000000000171</v>
      </c>
      <c r="Y12">
        <f t="shared" si="1"/>
        <v>-4.5500000000000114</v>
      </c>
      <c r="Z12" s="9">
        <f t="shared" si="1"/>
        <v>-20.730000000000018</v>
      </c>
      <c r="AB12">
        <f t="shared" si="2"/>
        <v>8.0800000000000125</v>
      </c>
      <c r="AC12">
        <f t="shared" si="2"/>
        <v>-6.5100000000000051</v>
      </c>
      <c r="AD12">
        <f t="shared" si="2"/>
        <v>-20.730000000000018</v>
      </c>
      <c r="AF12" s="10">
        <f t="shared" si="4"/>
        <v>-165</v>
      </c>
      <c r="AG12" s="10">
        <f t="shared" si="5"/>
        <v>86</v>
      </c>
      <c r="AH12">
        <f t="shared" si="3"/>
        <v>186.06719216455113</v>
      </c>
    </row>
    <row r="13" spans="1:34" x14ac:dyDescent="0.25">
      <c r="A13">
        <v>12</v>
      </c>
      <c r="C13">
        <v>566</v>
      </c>
      <c r="D13">
        <v>447</v>
      </c>
      <c r="F13">
        <v>-82.79</v>
      </c>
      <c r="G13">
        <v>92.23</v>
      </c>
      <c r="H13">
        <v>728</v>
      </c>
      <c r="J13">
        <v>-85</v>
      </c>
      <c r="K13">
        <v>94</v>
      </c>
      <c r="L13">
        <v>728</v>
      </c>
      <c r="N13">
        <v>-81.5</v>
      </c>
      <c r="O13">
        <v>88.04</v>
      </c>
      <c r="P13">
        <v>705.62</v>
      </c>
      <c r="R13">
        <f t="shared" si="0"/>
        <v>715.74637686823121</v>
      </c>
      <c r="T13" s="5">
        <v>101.66</v>
      </c>
      <c r="U13" s="5">
        <v>756.65</v>
      </c>
      <c r="V13" s="5">
        <v>48.77</v>
      </c>
      <c r="X13">
        <f t="shared" si="1"/>
        <v>1.2900000000000063</v>
      </c>
      <c r="Y13">
        <f t="shared" si="1"/>
        <v>-4.1899999999999977</v>
      </c>
      <c r="Z13" s="9">
        <f t="shared" si="1"/>
        <v>-22.379999999999995</v>
      </c>
      <c r="AB13">
        <f t="shared" si="2"/>
        <v>3.5</v>
      </c>
      <c r="AC13">
        <f t="shared" si="2"/>
        <v>-5.9599999999999937</v>
      </c>
      <c r="AD13">
        <f t="shared" si="2"/>
        <v>-22.379999999999995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447</v>
      </c>
      <c r="F14">
        <v>17.39</v>
      </c>
      <c r="G14">
        <v>91.85</v>
      </c>
      <c r="H14">
        <v>725</v>
      </c>
      <c r="J14">
        <v>16</v>
      </c>
      <c r="K14">
        <v>94</v>
      </c>
      <c r="L14">
        <v>725</v>
      </c>
      <c r="N14">
        <v>14.61</v>
      </c>
      <c r="O14">
        <v>89.51</v>
      </c>
      <c r="P14">
        <v>704.13</v>
      </c>
      <c r="R14">
        <f t="shared" si="0"/>
        <v>709.94686357501428</v>
      </c>
      <c r="T14" s="5">
        <v>5.52</v>
      </c>
      <c r="U14" s="5">
        <v>756.65</v>
      </c>
      <c r="V14" s="5">
        <v>49.13</v>
      </c>
      <c r="X14">
        <f t="shared" si="1"/>
        <v>-2.7800000000000011</v>
      </c>
      <c r="Y14">
        <f t="shared" si="1"/>
        <v>-2.3399999999999892</v>
      </c>
      <c r="Z14" s="9">
        <f t="shared" si="1"/>
        <v>-20.870000000000005</v>
      </c>
      <c r="AB14">
        <f t="shared" si="2"/>
        <v>-1.3900000000000006</v>
      </c>
      <c r="AC14">
        <f t="shared" si="2"/>
        <v>-4.4899999999999949</v>
      </c>
      <c r="AD14">
        <f t="shared" si="2"/>
        <v>-20.870000000000005</v>
      </c>
      <c r="AF14" s="10">
        <f t="shared" si="4"/>
        <v>11</v>
      </c>
      <c r="AG14" s="10">
        <f t="shared" si="5"/>
        <v>87</v>
      </c>
      <c r="AH14">
        <f t="shared" si="3"/>
        <v>87.692645073575008</v>
      </c>
    </row>
    <row r="15" spans="1:34" x14ac:dyDescent="0.25">
      <c r="A15">
        <v>14</v>
      </c>
      <c r="C15">
        <v>740</v>
      </c>
      <c r="D15">
        <v>449</v>
      </c>
      <c r="F15" s="7">
        <v>121.27</v>
      </c>
      <c r="G15">
        <v>93.69</v>
      </c>
      <c r="H15">
        <v>721</v>
      </c>
      <c r="J15">
        <v>121</v>
      </c>
      <c r="K15">
        <v>96</v>
      </c>
      <c r="L15">
        <v>721</v>
      </c>
      <c r="N15">
        <v>116.53</v>
      </c>
      <c r="O15">
        <v>91.25</v>
      </c>
      <c r="P15">
        <v>702.78</v>
      </c>
      <c r="R15">
        <f t="shared" si="0"/>
        <v>718.19602602632096</v>
      </c>
      <c r="T15" s="5">
        <v>-96.42</v>
      </c>
      <c r="U15" s="5">
        <v>756.65</v>
      </c>
      <c r="V15" s="5">
        <v>49.22</v>
      </c>
      <c r="X15">
        <f t="shared" si="1"/>
        <v>-4.7399999999999949</v>
      </c>
      <c r="Y15">
        <f t="shared" si="1"/>
        <v>-2.4399999999999977</v>
      </c>
      <c r="Z15" s="9">
        <f t="shared" si="1"/>
        <v>-18.220000000000027</v>
      </c>
      <c r="AB15">
        <f t="shared" si="2"/>
        <v>-4.4699999999999989</v>
      </c>
      <c r="AC15">
        <f t="shared" si="2"/>
        <v>-4.75</v>
      </c>
      <c r="AD15">
        <f t="shared" si="2"/>
        <v>-18.220000000000027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449</v>
      </c>
      <c r="F16">
        <v>223.98</v>
      </c>
      <c r="G16">
        <v>93.17</v>
      </c>
      <c r="H16">
        <v>717</v>
      </c>
      <c r="J16">
        <v>223</v>
      </c>
      <c r="K16">
        <v>95</v>
      </c>
      <c r="L16">
        <v>717</v>
      </c>
      <c r="N16">
        <v>215.35</v>
      </c>
      <c r="O16">
        <v>93.44</v>
      </c>
      <c r="P16">
        <v>700.77</v>
      </c>
      <c r="R16">
        <f t="shared" si="0"/>
        <v>739.04346895159017</v>
      </c>
      <c r="T16" s="5">
        <v>-195.28</v>
      </c>
      <c r="U16" s="5">
        <v>757.48</v>
      </c>
      <c r="V16" s="5">
        <v>49.59</v>
      </c>
      <c r="X16">
        <f t="shared" si="1"/>
        <v>-8.6299999999999955</v>
      </c>
      <c r="Y16">
        <f t="shared" si="1"/>
        <v>0.26999999999999602</v>
      </c>
      <c r="Z16" s="9">
        <f t="shared" si="1"/>
        <v>-16.230000000000018</v>
      </c>
      <c r="AB16">
        <f t="shared" si="2"/>
        <v>-7.6500000000000057</v>
      </c>
      <c r="AC16">
        <f t="shared" si="2"/>
        <v>-1.5600000000000023</v>
      </c>
      <c r="AD16">
        <f t="shared" si="2"/>
        <v>-16.230000000000018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Blue</vt:lpstr>
      <vt:lpstr>Red</vt:lpstr>
      <vt:lpstr>Yellow</vt:lpstr>
      <vt:lpstr>Green</vt:lpstr>
      <vt:lpstr>Orange</vt:lpstr>
      <vt:lpstr>White</vt:lpstr>
      <vt:lpstr>LGreen</vt:lpstr>
      <vt:lpstr>LBlue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2021-04-18T14:06:11Z</dcterms:modified>
</cp:coreProperties>
</file>