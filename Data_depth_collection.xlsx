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.sheaib\PycharmProjects\openCV\"/>
    </mc:Choice>
  </mc:AlternateContent>
  <bookViews>
    <workbookView xWindow="0" yWindow="0" windowWidth="17256" windowHeight="5928" tabRatio="863" firstSheet="3" activeTab="16"/>
  </bookViews>
  <sheets>
    <sheet name="Blue" sheetId="2" r:id="rId1"/>
    <sheet name="Red" sheetId="3" r:id="rId2"/>
    <sheet name="Yellow" sheetId="4" r:id="rId3"/>
    <sheet name="Green" sheetId="5" r:id="rId4"/>
    <sheet name="Orange" sheetId="7" r:id="rId5"/>
    <sheet name="White" sheetId="6" r:id="rId6"/>
    <sheet name="LGreen" sheetId="8" r:id="rId7"/>
    <sheet name="LBlue" sheetId="9" r:id="rId8"/>
    <sheet name="Blue_IB" sheetId="10" r:id="rId9"/>
    <sheet name="Red_IB" sheetId="13" r:id="rId10"/>
    <sheet name="Yellow_IB" sheetId="11" r:id="rId11"/>
    <sheet name="Green_IB" sheetId="12" r:id="rId12"/>
    <sheet name="Orange_IB" sheetId="16" r:id="rId13"/>
    <sheet name="White_IB" sheetId="17" r:id="rId14"/>
    <sheet name="LGreen_IB" sheetId="14" r:id="rId15"/>
    <sheet name="LBlue_IB" sheetId="15" r:id="rId16"/>
    <sheet name="BlueTest" sheetId="18" r:id="rId17"/>
    <sheet name="Measurements" sheetId="19" r:id="rId18"/>
    <sheet name="BGR" sheetId="20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" i="18" l="1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21" i="18"/>
  <c r="Q34" i="18"/>
  <c r="Q35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21" i="18"/>
  <c r="R4" i="18" l="1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R3" i="18"/>
  <c r="Q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3" i="18"/>
  <c r="Y4" i="15" l="1"/>
  <c r="Y5" i="15"/>
  <c r="Y6" i="15"/>
  <c r="Y7" i="15"/>
  <c r="Y8" i="15"/>
  <c r="Y9" i="15"/>
  <c r="Y10" i="15"/>
  <c r="Y3" i="15"/>
  <c r="Y4" i="14"/>
  <c r="Y5" i="14"/>
  <c r="Y6" i="14"/>
  <c r="Y7" i="14"/>
  <c r="Y8" i="14"/>
  <c r="Y9" i="14"/>
  <c r="Y10" i="14"/>
  <c r="Y3" i="14"/>
  <c r="Y4" i="17"/>
  <c r="Y5" i="17"/>
  <c r="Y6" i="17"/>
  <c r="Y7" i="17"/>
  <c r="Y8" i="17"/>
  <c r="Y9" i="17"/>
  <c r="Y10" i="17"/>
  <c r="Y3" i="17"/>
  <c r="Y4" i="16"/>
  <c r="Y5" i="16"/>
  <c r="Y6" i="16"/>
  <c r="Y7" i="16"/>
  <c r="Y8" i="16"/>
  <c r="Y9" i="16"/>
  <c r="Y10" i="16"/>
  <c r="Y3" i="16"/>
  <c r="Y4" i="12"/>
  <c r="Y5" i="12"/>
  <c r="Y6" i="12"/>
  <c r="Y7" i="12"/>
  <c r="Y8" i="12"/>
  <c r="Y9" i="12"/>
  <c r="Y10" i="12"/>
  <c r="Y3" i="12"/>
  <c r="Y4" i="11"/>
  <c r="Y5" i="11"/>
  <c r="Y6" i="11"/>
  <c r="Y7" i="11"/>
  <c r="Y8" i="11"/>
  <c r="Y9" i="11"/>
  <c r="Y10" i="11"/>
  <c r="Y3" i="11"/>
  <c r="Y4" i="13"/>
  <c r="Y5" i="13"/>
  <c r="Y6" i="13"/>
  <c r="Y7" i="13"/>
  <c r="Y8" i="13"/>
  <c r="Y9" i="13"/>
  <c r="Y10" i="13"/>
  <c r="Y3" i="13"/>
  <c r="Y4" i="10"/>
  <c r="Y5" i="10"/>
  <c r="Y6" i="10"/>
  <c r="Y7" i="10"/>
  <c r="Y8" i="10"/>
  <c r="Y9" i="10"/>
  <c r="Y10" i="10"/>
  <c r="Y3" i="10"/>
  <c r="AI10" i="17" l="1"/>
  <c r="AH10" i="17"/>
  <c r="AG10" i="17"/>
  <c r="AF10" i="17"/>
  <c r="AE10" i="17"/>
  <c r="AD10" i="17"/>
  <c r="AI9" i="17"/>
  <c r="AH9" i="17"/>
  <c r="AG9" i="17"/>
  <c r="AF9" i="17"/>
  <c r="AE9" i="17"/>
  <c r="AD9" i="17"/>
  <c r="AI8" i="17"/>
  <c r="AH8" i="17"/>
  <c r="AG8" i="17"/>
  <c r="AF8" i="17"/>
  <c r="AE8" i="17"/>
  <c r="AD8" i="17"/>
  <c r="AI7" i="17"/>
  <c r="AH7" i="17"/>
  <c r="AG7" i="17"/>
  <c r="AF7" i="17"/>
  <c r="AE7" i="17"/>
  <c r="AD7" i="17"/>
  <c r="AI6" i="17"/>
  <c r="AH6" i="17"/>
  <c r="AG6" i="17"/>
  <c r="AF6" i="17"/>
  <c r="AE6" i="17"/>
  <c r="AD6" i="17"/>
  <c r="AI5" i="17"/>
  <c r="AH5" i="17"/>
  <c r="AG5" i="17"/>
  <c r="AF5" i="17"/>
  <c r="AE5" i="17"/>
  <c r="AD5" i="17"/>
  <c r="AI4" i="17"/>
  <c r="AH4" i="17"/>
  <c r="AG4" i="17"/>
  <c r="AF4" i="17"/>
  <c r="AE4" i="17"/>
  <c r="AD4" i="17"/>
  <c r="AI3" i="17"/>
  <c r="AH3" i="17"/>
  <c r="AG3" i="17"/>
  <c r="AF3" i="17"/>
  <c r="AE3" i="17"/>
  <c r="AD3" i="17"/>
  <c r="AI10" i="16"/>
  <c r="AH10" i="16"/>
  <c r="AG10" i="16"/>
  <c r="AF10" i="16"/>
  <c r="AE10" i="16"/>
  <c r="AD10" i="16"/>
  <c r="AI9" i="16"/>
  <c r="AH9" i="16"/>
  <c r="AG9" i="16"/>
  <c r="AF9" i="16"/>
  <c r="AE9" i="16"/>
  <c r="AD9" i="16"/>
  <c r="AI8" i="16"/>
  <c r="AH8" i="16"/>
  <c r="AG8" i="16"/>
  <c r="AF8" i="16"/>
  <c r="AE8" i="16"/>
  <c r="AD8" i="16"/>
  <c r="AI7" i="16"/>
  <c r="AH7" i="16"/>
  <c r="AG7" i="16"/>
  <c r="AF7" i="16"/>
  <c r="AE7" i="16"/>
  <c r="AD7" i="16"/>
  <c r="AI6" i="16"/>
  <c r="AH6" i="16"/>
  <c r="AG6" i="16"/>
  <c r="AF6" i="16"/>
  <c r="AE6" i="16"/>
  <c r="AD6" i="16"/>
  <c r="AI5" i="16"/>
  <c r="AH5" i="16"/>
  <c r="AG5" i="16"/>
  <c r="AF5" i="16"/>
  <c r="AE5" i="16"/>
  <c r="AD5" i="16"/>
  <c r="AI4" i="16"/>
  <c r="AH4" i="16"/>
  <c r="AG4" i="16"/>
  <c r="AF4" i="16"/>
  <c r="AE4" i="16"/>
  <c r="AD4" i="16"/>
  <c r="AI3" i="16"/>
  <c r="AH3" i="16"/>
  <c r="AG3" i="16"/>
  <c r="AF3" i="16"/>
  <c r="AE3" i="16"/>
  <c r="AD3" i="16"/>
  <c r="AI10" i="15"/>
  <c r="AH10" i="15"/>
  <c r="AG10" i="15"/>
  <c r="AF10" i="15"/>
  <c r="AE10" i="15"/>
  <c r="AD10" i="15"/>
  <c r="AI9" i="15"/>
  <c r="AH9" i="15"/>
  <c r="AG9" i="15"/>
  <c r="AF9" i="15"/>
  <c r="AE9" i="15"/>
  <c r="AD9" i="15"/>
  <c r="AI8" i="15"/>
  <c r="AH8" i="15"/>
  <c r="AG8" i="15"/>
  <c r="AF8" i="15"/>
  <c r="AE8" i="15"/>
  <c r="AD8" i="15"/>
  <c r="AI7" i="15"/>
  <c r="AH7" i="15"/>
  <c r="AG7" i="15"/>
  <c r="AF7" i="15"/>
  <c r="AE7" i="15"/>
  <c r="AD7" i="15"/>
  <c r="AI6" i="15"/>
  <c r="AH6" i="15"/>
  <c r="AG6" i="15"/>
  <c r="AF6" i="15"/>
  <c r="AE6" i="15"/>
  <c r="AD6" i="15"/>
  <c r="AI5" i="15"/>
  <c r="AH5" i="15"/>
  <c r="AG5" i="15"/>
  <c r="AF5" i="15"/>
  <c r="AE5" i="15"/>
  <c r="AD5" i="15"/>
  <c r="AI4" i="15"/>
  <c r="AH4" i="15"/>
  <c r="AG4" i="15"/>
  <c r="AF4" i="15"/>
  <c r="AE4" i="15"/>
  <c r="AD4" i="15"/>
  <c r="AI3" i="15"/>
  <c r="AH3" i="15"/>
  <c r="AG3" i="15"/>
  <c r="AF3" i="15"/>
  <c r="AE3" i="15"/>
  <c r="AD3" i="15"/>
  <c r="AI10" i="14"/>
  <c r="AH10" i="14"/>
  <c r="AG10" i="14"/>
  <c r="AF10" i="14"/>
  <c r="AE10" i="14"/>
  <c r="AD10" i="14"/>
  <c r="AI9" i="14"/>
  <c r="AH9" i="14"/>
  <c r="AG9" i="14"/>
  <c r="AF9" i="14"/>
  <c r="AE9" i="14"/>
  <c r="AD9" i="14"/>
  <c r="AI8" i="14"/>
  <c r="AH8" i="14"/>
  <c r="AG8" i="14"/>
  <c r="AF8" i="14"/>
  <c r="AE8" i="14"/>
  <c r="AD8" i="14"/>
  <c r="AI7" i="14"/>
  <c r="AH7" i="14"/>
  <c r="AG7" i="14"/>
  <c r="AF7" i="14"/>
  <c r="AE7" i="14"/>
  <c r="AD7" i="14"/>
  <c r="AI6" i="14"/>
  <c r="AH6" i="14"/>
  <c r="AG6" i="14"/>
  <c r="AF6" i="14"/>
  <c r="AE6" i="14"/>
  <c r="AD6" i="14"/>
  <c r="AI5" i="14"/>
  <c r="AH5" i="14"/>
  <c r="AG5" i="14"/>
  <c r="AF5" i="14"/>
  <c r="AE5" i="14"/>
  <c r="AD5" i="14"/>
  <c r="AI4" i="14"/>
  <c r="AH4" i="14"/>
  <c r="AG4" i="14"/>
  <c r="AF4" i="14"/>
  <c r="AE4" i="14"/>
  <c r="AD4" i="14"/>
  <c r="AI3" i="14"/>
  <c r="AH3" i="14"/>
  <c r="AG3" i="14"/>
  <c r="AF3" i="14"/>
  <c r="AE3" i="14"/>
  <c r="AD3" i="14"/>
  <c r="AJ70" i="10"/>
  <c r="AI70" i="10"/>
  <c r="AH70" i="10"/>
  <c r="AG70" i="10"/>
  <c r="AF70" i="10"/>
  <c r="AE70" i="10"/>
  <c r="AJ69" i="10"/>
  <c r="AI69" i="10"/>
  <c r="AH69" i="10"/>
  <c r="AG69" i="10"/>
  <c r="AF69" i="10"/>
  <c r="AE69" i="10"/>
  <c r="AJ68" i="10"/>
  <c r="AI68" i="10"/>
  <c r="AH68" i="10"/>
  <c r="AG68" i="10"/>
  <c r="AF68" i="10"/>
  <c r="AE68" i="10"/>
  <c r="AJ67" i="10"/>
  <c r="AI67" i="10"/>
  <c r="AH67" i="10"/>
  <c r="AG67" i="10"/>
  <c r="AF67" i="10"/>
  <c r="AE67" i="10"/>
  <c r="AJ66" i="10"/>
  <c r="AI66" i="10"/>
  <c r="AH66" i="10"/>
  <c r="AG66" i="10"/>
  <c r="AF66" i="10"/>
  <c r="AE66" i="10"/>
  <c r="AJ65" i="10"/>
  <c r="AI65" i="10"/>
  <c r="AH65" i="10"/>
  <c r="AG65" i="10"/>
  <c r="AF65" i="10"/>
  <c r="AE65" i="10"/>
  <c r="AJ64" i="10"/>
  <c r="AI64" i="10"/>
  <c r="AH64" i="10"/>
  <c r="AG64" i="10"/>
  <c r="AF64" i="10"/>
  <c r="AE64" i="10"/>
  <c r="AJ63" i="10"/>
  <c r="AI63" i="10"/>
  <c r="AH63" i="10"/>
  <c r="AG63" i="10"/>
  <c r="AF63" i="10"/>
  <c r="AE63" i="10"/>
  <c r="AJ60" i="10" l="1"/>
  <c r="AI60" i="10"/>
  <c r="AH60" i="10"/>
  <c r="AG60" i="10"/>
  <c r="AF60" i="10"/>
  <c r="AE60" i="10"/>
  <c r="AJ59" i="10"/>
  <c r="AI59" i="10"/>
  <c r="AH59" i="10"/>
  <c r="AG59" i="10"/>
  <c r="AF59" i="10"/>
  <c r="AE59" i="10"/>
  <c r="AJ58" i="10"/>
  <c r="AI58" i="10"/>
  <c r="AH58" i="10"/>
  <c r="AG58" i="10"/>
  <c r="AF58" i="10"/>
  <c r="AE58" i="10"/>
  <c r="AJ57" i="10"/>
  <c r="AI57" i="10"/>
  <c r="AH57" i="10"/>
  <c r="AG57" i="10"/>
  <c r="AF57" i="10"/>
  <c r="AE57" i="10"/>
  <c r="AJ56" i="10"/>
  <c r="AI56" i="10"/>
  <c r="AH56" i="10"/>
  <c r="AG56" i="10"/>
  <c r="AF56" i="10"/>
  <c r="AE56" i="10"/>
  <c r="AJ55" i="10"/>
  <c r="AI55" i="10"/>
  <c r="AH55" i="10"/>
  <c r="AG55" i="10"/>
  <c r="AF55" i="10"/>
  <c r="AE55" i="10"/>
  <c r="AJ54" i="10"/>
  <c r="AI54" i="10"/>
  <c r="AH54" i="10"/>
  <c r="AG54" i="10"/>
  <c r="AF54" i="10"/>
  <c r="AE54" i="10"/>
  <c r="AJ53" i="10"/>
  <c r="AI53" i="10"/>
  <c r="AH53" i="10"/>
  <c r="AG53" i="10"/>
  <c r="AF53" i="10"/>
  <c r="AE53" i="10"/>
  <c r="AJ50" i="10"/>
  <c r="AI50" i="10"/>
  <c r="AH50" i="10"/>
  <c r="AG50" i="10"/>
  <c r="AF50" i="10"/>
  <c r="AE50" i="10"/>
  <c r="AJ49" i="10"/>
  <c r="AI49" i="10"/>
  <c r="AH49" i="10"/>
  <c r="AG49" i="10"/>
  <c r="AF49" i="10"/>
  <c r="AE49" i="10"/>
  <c r="AJ48" i="10"/>
  <c r="AI48" i="10"/>
  <c r="AH48" i="10"/>
  <c r="AG48" i="10"/>
  <c r="AF48" i="10"/>
  <c r="AE48" i="10"/>
  <c r="AJ47" i="10"/>
  <c r="AI47" i="10"/>
  <c r="AH47" i="10"/>
  <c r="AG47" i="10"/>
  <c r="AF47" i="10"/>
  <c r="AE47" i="10"/>
  <c r="AJ46" i="10"/>
  <c r="AI46" i="10"/>
  <c r="AH46" i="10"/>
  <c r="AG46" i="10"/>
  <c r="AF46" i="10"/>
  <c r="AE46" i="10"/>
  <c r="AJ45" i="10"/>
  <c r="AI45" i="10"/>
  <c r="AH45" i="10"/>
  <c r="AG45" i="10"/>
  <c r="AF45" i="10"/>
  <c r="AE45" i="10"/>
  <c r="AJ44" i="10"/>
  <c r="AI44" i="10"/>
  <c r="AH44" i="10"/>
  <c r="AG44" i="10"/>
  <c r="AF44" i="10"/>
  <c r="AE44" i="10"/>
  <c r="AJ43" i="10"/>
  <c r="AI43" i="10"/>
  <c r="AH43" i="10"/>
  <c r="AG43" i="10"/>
  <c r="AF43" i="10"/>
  <c r="AE43" i="10"/>
  <c r="AJ40" i="10"/>
  <c r="AI40" i="10"/>
  <c r="AH40" i="10"/>
  <c r="AG40" i="10"/>
  <c r="AF40" i="10"/>
  <c r="AE40" i="10"/>
  <c r="AJ39" i="10"/>
  <c r="AI39" i="10"/>
  <c r="AH39" i="10"/>
  <c r="AG39" i="10"/>
  <c r="AF39" i="10"/>
  <c r="AE39" i="10"/>
  <c r="AJ38" i="10"/>
  <c r="AI38" i="10"/>
  <c r="AH38" i="10"/>
  <c r="AG38" i="10"/>
  <c r="AF38" i="10"/>
  <c r="AE38" i="10"/>
  <c r="AJ37" i="10"/>
  <c r="AI37" i="10"/>
  <c r="AH37" i="10"/>
  <c r="AG37" i="10"/>
  <c r="AF37" i="10"/>
  <c r="AE37" i="10"/>
  <c r="AJ36" i="10"/>
  <c r="AI36" i="10"/>
  <c r="AH36" i="10"/>
  <c r="AG36" i="10"/>
  <c r="AF36" i="10"/>
  <c r="AE36" i="10"/>
  <c r="AJ35" i="10"/>
  <c r="AI35" i="10"/>
  <c r="AH35" i="10"/>
  <c r="AG35" i="10"/>
  <c r="AF35" i="10"/>
  <c r="AE35" i="10"/>
  <c r="AJ34" i="10"/>
  <c r="AI34" i="10"/>
  <c r="AH34" i="10"/>
  <c r="AG34" i="10"/>
  <c r="AF34" i="10"/>
  <c r="AE34" i="10"/>
  <c r="AJ33" i="10"/>
  <c r="AI33" i="10"/>
  <c r="AH33" i="10"/>
  <c r="AG33" i="10"/>
  <c r="AF33" i="10"/>
  <c r="AE33" i="10"/>
  <c r="AJ30" i="10"/>
  <c r="AI30" i="10"/>
  <c r="AH30" i="10"/>
  <c r="AG30" i="10"/>
  <c r="AF30" i="10"/>
  <c r="AE30" i="10"/>
  <c r="AJ29" i="10"/>
  <c r="AI29" i="10"/>
  <c r="AH29" i="10"/>
  <c r="AG29" i="10"/>
  <c r="AF29" i="10"/>
  <c r="AE29" i="10"/>
  <c r="AJ28" i="10"/>
  <c r="AI28" i="10"/>
  <c r="AH28" i="10"/>
  <c r="AG28" i="10"/>
  <c r="AF28" i="10"/>
  <c r="AE28" i="10"/>
  <c r="AJ27" i="10"/>
  <c r="AI27" i="10"/>
  <c r="AH27" i="10"/>
  <c r="AG27" i="10"/>
  <c r="AF27" i="10"/>
  <c r="AE27" i="10"/>
  <c r="AJ26" i="10"/>
  <c r="AI26" i="10"/>
  <c r="AH26" i="10"/>
  <c r="AG26" i="10"/>
  <c r="AF26" i="10"/>
  <c r="AE26" i="10"/>
  <c r="AJ25" i="10"/>
  <c r="AI25" i="10"/>
  <c r="AH25" i="10"/>
  <c r="AG25" i="10"/>
  <c r="AF25" i="10"/>
  <c r="AE25" i="10"/>
  <c r="AJ24" i="10"/>
  <c r="AI24" i="10"/>
  <c r="AH24" i="10"/>
  <c r="AG24" i="10"/>
  <c r="AF24" i="10"/>
  <c r="AE24" i="10"/>
  <c r="AJ23" i="10"/>
  <c r="AI23" i="10"/>
  <c r="AH23" i="10"/>
  <c r="AG23" i="10"/>
  <c r="AF23" i="10"/>
  <c r="AE23" i="10"/>
  <c r="AJ20" i="10" l="1"/>
  <c r="AI20" i="10"/>
  <c r="AH20" i="10"/>
  <c r="AG20" i="10"/>
  <c r="AF20" i="10"/>
  <c r="AE20" i="10"/>
  <c r="AJ19" i="10"/>
  <c r="AI19" i="10"/>
  <c r="AH19" i="10"/>
  <c r="AG19" i="10"/>
  <c r="AF19" i="10"/>
  <c r="AE19" i="10"/>
  <c r="AJ18" i="10"/>
  <c r="AI18" i="10"/>
  <c r="AH18" i="10"/>
  <c r="AG18" i="10"/>
  <c r="AF18" i="10"/>
  <c r="AE18" i="10"/>
  <c r="AJ17" i="10"/>
  <c r="AI17" i="10"/>
  <c r="AH17" i="10"/>
  <c r="AG17" i="10"/>
  <c r="AF17" i="10"/>
  <c r="AE17" i="10"/>
  <c r="AJ16" i="10"/>
  <c r="AI16" i="10"/>
  <c r="AH16" i="10"/>
  <c r="AG16" i="10"/>
  <c r="AF16" i="10"/>
  <c r="AE16" i="10"/>
  <c r="AJ15" i="10"/>
  <c r="AI15" i="10"/>
  <c r="AH15" i="10"/>
  <c r="AG15" i="10"/>
  <c r="AF15" i="10"/>
  <c r="AE15" i="10"/>
  <c r="AJ14" i="10"/>
  <c r="AI14" i="10"/>
  <c r="AH14" i="10"/>
  <c r="AG14" i="10"/>
  <c r="AF14" i="10"/>
  <c r="AE14" i="10"/>
  <c r="AJ13" i="10"/>
  <c r="AI13" i="10"/>
  <c r="AH13" i="10"/>
  <c r="AG13" i="10"/>
  <c r="AF13" i="10"/>
  <c r="AE13" i="10"/>
  <c r="AI10" i="12"/>
  <c r="AH10" i="12"/>
  <c r="AG10" i="12"/>
  <c r="AF10" i="12"/>
  <c r="AE10" i="12"/>
  <c r="AD10" i="12"/>
  <c r="AI9" i="12"/>
  <c r="AH9" i="12"/>
  <c r="AG9" i="12"/>
  <c r="AF9" i="12"/>
  <c r="AE9" i="12"/>
  <c r="AD9" i="12"/>
  <c r="AI8" i="12"/>
  <c r="AH8" i="12"/>
  <c r="AG8" i="12"/>
  <c r="AF8" i="12"/>
  <c r="AE8" i="12"/>
  <c r="AD8" i="12"/>
  <c r="AI7" i="12"/>
  <c r="AH7" i="12"/>
  <c r="AG7" i="12"/>
  <c r="AF7" i="12"/>
  <c r="AE7" i="12"/>
  <c r="AD7" i="12"/>
  <c r="AI6" i="12"/>
  <c r="AH6" i="12"/>
  <c r="AG6" i="12"/>
  <c r="AF6" i="12"/>
  <c r="AE6" i="12"/>
  <c r="AD6" i="12"/>
  <c r="AI5" i="12"/>
  <c r="AH5" i="12"/>
  <c r="AG5" i="12"/>
  <c r="AF5" i="12"/>
  <c r="AE5" i="12"/>
  <c r="AD5" i="12"/>
  <c r="AI4" i="12"/>
  <c r="AH4" i="12"/>
  <c r="AG4" i="12"/>
  <c r="AF4" i="12"/>
  <c r="AE4" i="12"/>
  <c r="AD4" i="12"/>
  <c r="AI3" i="12"/>
  <c r="AH3" i="12"/>
  <c r="AG3" i="12"/>
  <c r="AF3" i="12"/>
  <c r="AE3" i="12"/>
  <c r="AD3" i="12"/>
  <c r="AI10" i="11"/>
  <c r="AH10" i="11"/>
  <c r="AG10" i="11"/>
  <c r="AF10" i="11"/>
  <c r="AE10" i="11"/>
  <c r="AD10" i="11"/>
  <c r="AI9" i="11"/>
  <c r="AH9" i="11"/>
  <c r="AG9" i="11"/>
  <c r="AF9" i="11"/>
  <c r="AE9" i="11"/>
  <c r="AD9" i="11"/>
  <c r="AI8" i="11"/>
  <c r="AH8" i="11"/>
  <c r="AG8" i="11"/>
  <c r="AF8" i="11"/>
  <c r="AE8" i="11"/>
  <c r="AD8" i="11"/>
  <c r="AI7" i="11"/>
  <c r="AH7" i="11"/>
  <c r="AG7" i="11"/>
  <c r="AF7" i="11"/>
  <c r="AE7" i="11"/>
  <c r="AD7" i="11"/>
  <c r="AI6" i="11"/>
  <c r="AH6" i="11"/>
  <c r="AG6" i="11"/>
  <c r="AF6" i="11"/>
  <c r="AE6" i="11"/>
  <c r="AD6" i="11"/>
  <c r="AI5" i="11"/>
  <c r="AH5" i="11"/>
  <c r="AG5" i="11"/>
  <c r="AF5" i="11"/>
  <c r="AE5" i="11"/>
  <c r="AD5" i="11"/>
  <c r="AI4" i="11"/>
  <c r="AH4" i="11"/>
  <c r="AG4" i="11"/>
  <c r="AF4" i="11"/>
  <c r="AE4" i="11"/>
  <c r="AD4" i="11"/>
  <c r="AI3" i="11"/>
  <c r="AH3" i="11"/>
  <c r="AG3" i="11"/>
  <c r="AF3" i="11"/>
  <c r="AE3" i="11"/>
  <c r="AD3" i="11"/>
  <c r="AI10" i="13"/>
  <c r="AH10" i="13"/>
  <c r="AG10" i="13"/>
  <c r="AF10" i="13"/>
  <c r="AE10" i="13"/>
  <c r="AD10" i="13"/>
  <c r="AI9" i="13"/>
  <c r="AH9" i="13"/>
  <c r="AG9" i="13"/>
  <c r="AF9" i="13"/>
  <c r="AE9" i="13"/>
  <c r="AD9" i="13"/>
  <c r="AI8" i="13"/>
  <c r="AH8" i="13"/>
  <c r="AG8" i="13"/>
  <c r="AF8" i="13"/>
  <c r="AE8" i="13"/>
  <c r="AD8" i="13"/>
  <c r="AI7" i="13"/>
  <c r="AH7" i="13"/>
  <c r="AG7" i="13"/>
  <c r="AF7" i="13"/>
  <c r="AE7" i="13"/>
  <c r="AD7" i="13"/>
  <c r="AI6" i="13"/>
  <c r="AH6" i="13"/>
  <c r="AG6" i="13"/>
  <c r="AF6" i="13"/>
  <c r="AE6" i="13"/>
  <c r="AD6" i="13"/>
  <c r="AI5" i="13"/>
  <c r="AH5" i="13"/>
  <c r="AG5" i="13"/>
  <c r="AF5" i="13"/>
  <c r="AE5" i="13"/>
  <c r="AD5" i="13"/>
  <c r="AI4" i="13"/>
  <c r="AH4" i="13"/>
  <c r="AG4" i="13"/>
  <c r="AF4" i="13"/>
  <c r="AE4" i="13"/>
  <c r="AD4" i="13"/>
  <c r="AI3" i="13"/>
  <c r="AH3" i="13"/>
  <c r="AG3" i="13"/>
  <c r="AF3" i="13"/>
  <c r="AE3" i="13"/>
  <c r="AD3" i="13"/>
  <c r="AJ10" i="10"/>
  <c r="AI10" i="10"/>
  <c r="AH10" i="10"/>
  <c r="AG10" i="10"/>
  <c r="AF10" i="10"/>
  <c r="AE10" i="10"/>
  <c r="AJ9" i="10"/>
  <c r="AI9" i="10"/>
  <c r="AH9" i="10"/>
  <c r="AG9" i="10"/>
  <c r="AF9" i="10"/>
  <c r="AE9" i="10"/>
  <c r="AJ8" i="10"/>
  <c r="AI8" i="10"/>
  <c r="AH8" i="10"/>
  <c r="AG8" i="10"/>
  <c r="AF8" i="10"/>
  <c r="AE8" i="10"/>
  <c r="AJ7" i="10"/>
  <c r="AI7" i="10"/>
  <c r="AH7" i="10"/>
  <c r="AG7" i="10"/>
  <c r="AF7" i="10"/>
  <c r="AE7" i="10"/>
  <c r="AJ6" i="10"/>
  <c r="AI6" i="10"/>
  <c r="AH6" i="10"/>
  <c r="AG6" i="10"/>
  <c r="AF6" i="10"/>
  <c r="AE6" i="10"/>
  <c r="AJ5" i="10"/>
  <c r="AI5" i="10"/>
  <c r="AH5" i="10"/>
  <c r="AG5" i="10"/>
  <c r="AF5" i="10"/>
  <c r="AE5" i="10"/>
  <c r="AJ4" i="10"/>
  <c r="AI4" i="10"/>
  <c r="AH4" i="10"/>
  <c r="AG4" i="10"/>
  <c r="AF4" i="10"/>
  <c r="AE4" i="10"/>
  <c r="AJ3" i="10"/>
  <c r="AI3" i="10"/>
  <c r="AH3" i="10"/>
  <c r="AG3" i="10"/>
  <c r="AF3" i="10"/>
  <c r="AE3" i="10"/>
  <c r="AH16" i="9" l="1"/>
  <c r="AG16" i="9"/>
  <c r="AF16" i="9"/>
  <c r="AD16" i="9"/>
  <c r="AC16" i="9"/>
  <c r="AB16" i="9"/>
  <c r="Z16" i="9"/>
  <c r="Y16" i="9"/>
  <c r="X16" i="9"/>
  <c r="R16" i="9"/>
  <c r="AH15" i="9"/>
  <c r="AG15" i="9"/>
  <c r="AF15" i="9"/>
  <c r="AD15" i="9"/>
  <c r="AC15" i="9"/>
  <c r="AB15" i="9"/>
  <c r="Z15" i="9"/>
  <c r="Y15" i="9"/>
  <c r="X15" i="9"/>
  <c r="R15" i="9"/>
  <c r="AH14" i="9"/>
  <c r="AG14" i="9"/>
  <c r="AF14" i="9"/>
  <c r="AD14" i="9"/>
  <c r="AC14" i="9"/>
  <c r="AB14" i="9"/>
  <c r="Z14" i="9"/>
  <c r="Y14" i="9"/>
  <c r="X14" i="9"/>
  <c r="R14" i="9"/>
  <c r="AH13" i="9"/>
  <c r="AG13" i="9"/>
  <c r="AF13" i="9"/>
  <c r="AD13" i="9"/>
  <c r="AC13" i="9"/>
  <c r="AB13" i="9"/>
  <c r="Z13" i="9"/>
  <c r="Y13" i="9"/>
  <c r="X13" i="9"/>
  <c r="R13" i="9"/>
  <c r="AH12" i="9"/>
  <c r="AG12" i="9"/>
  <c r="AF12" i="9"/>
  <c r="AD12" i="9"/>
  <c r="AC12" i="9"/>
  <c r="AB12" i="9"/>
  <c r="Z12" i="9"/>
  <c r="Y12" i="9"/>
  <c r="X12" i="9"/>
  <c r="R12" i="9"/>
  <c r="AH11" i="9"/>
  <c r="AG11" i="9"/>
  <c r="AF11" i="9"/>
  <c r="AD11" i="9"/>
  <c r="AC11" i="9"/>
  <c r="AB11" i="9"/>
  <c r="Z11" i="9"/>
  <c r="Y11" i="9"/>
  <c r="X11" i="9"/>
  <c r="R11" i="9"/>
  <c r="AH10" i="9"/>
  <c r="AG10" i="9"/>
  <c r="AF10" i="9"/>
  <c r="AD10" i="9"/>
  <c r="AC10" i="9"/>
  <c r="AB10" i="9"/>
  <c r="Z10" i="9"/>
  <c r="Y10" i="9"/>
  <c r="X10" i="9"/>
  <c r="R10" i="9"/>
  <c r="AH9" i="9"/>
  <c r="AG9" i="9"/>
  <c r="AF9" i="9"/>
  <c r="AD9" i="9"/>
  <c r="AC9" i="9"/>
  <c r="AB9" i="9"/>
  <c r="Z9" i="9"/>
  <c r="Y9" i="9"/>
  <c r="X9" i="9"/>
  <c r="R9" i="9"/>
  <c r="AH8" i="9"/>
  <c r="AG8" i="9"/>
  <c r="AF8" i="9"/>
  <c r="AD8" i="9"/>
  <c r="AC8" i="9"/>
  <c r="AB8" i="9"/>
  <c r="Z8" i="9"/>
  <c r="Y8" i="9"/>
  <c r="X8" i="9"/>
  <c r="R8" i="9"/>
  <c r="AH7" i="9"/>
  <c r="AG7" i="9"/>
  <c r="AF7" i="9"/>
  <c r="AD7" i="9"/>
  <c r="AC7" i="9"/>
  <c r="AB7" i="9"/>
  <c r="Z7" i="9"/>
  <c r="Y7" i="9"/>
  <c r="X7" i="9"/>
  <c r="R7" i="9"/>
  <c r="AH6" i="9"/>
  <c r="AG6" i="9"/>
  <c r="AF6" i="9"/>
  <c r="AD6" i="9"/>
  <c r="AC6" i="9"/>
  <c r="AB6" i="9"/>
  <c r="Z6" i="9"/>
  <c r="Y6" i="9"/>
  <c r="X6" i="9"/>
  <c r="R6" i="9"/>
  <c r="AH5" i="9"/>
  <c r="AG5" i="9"/>
  <c r="AF5" i="9"/>
  <c r="AD5" i="9"/>
  <c r="AC5" i="9"/>
  <c r="AB5" i="9"/>
  <c r="Z5" i="9"/>
  <c r="Y5" i="9"/>
  <c r="X5" i="9"/>
  <c r="R5" i="9"/>
  <c r="AH4" i="9"/>
  <c r="AG4" i="9"/>
  <c r="AF4" i="9"/>
  <c r="AD4" i="9"/>
  <c r="AC4" i="9"/>
  <c r="AB4" i="9"/>
  <c r="Z4" i="9"/>
  <c r="Y4" i="9"/>
  <c r="X4" i="9"/>
  <c r="R4" i="9"/>
  <c r="AH3" i="9"/>
  <c r="AG3" i="9"/>
  <c r="AF3" i="9"/>
  <c r="AD3" i="9"/>
  <c r="AC3" i="9"/>
  <c r="AB3" i="9"/>
  <c r="Z3" i="9"/>
  <c r="Y3" i="9"/>
  <c r="X3" i="9"/>
  <c r="R3" i="9"/>
  <c r="AH2" i="9"/>
  <c r="AG2" i="9"/>
  <c r="AF2" i="9"/>
  <c r="AD2" i="9"/>
  <c r="AC2" i="9"/>
  <c r="AB2" i="9"/>
  <c r="Z2" i="9"/>
  <c r="Y2" i="9"/>
  <c r="X2" i="9"/>
  <c r="R2" i="9"/>
  <c r="AH16" i="8"/>
  <c r="AG16" i="8"/>
  <c r="AF16" i="8"/>
  <c r="AD16" i="8"/>
  <c r="AC16" i="8"/>
  <c r="AB16" i="8"/>
  <c r="Z16" i="8"/>
  <c r="Y16" i="8"/>
  <c r="X16" i="8"/>
  <c r="R16" i="8"/>
  <c r="AH15" i="8"/>
  <c r="AG15" i="8"/>
  <c r="AF15" i="8"/>
  <c r="AD15" i="8"/>
  <c r="AC15" i="8"/>
  <c r="AB15" i="8"/>
  <c r="Z15" i="8"/>
  <c r="Y15" i="8"/>
  <c r="X15" i="8"/>
  <c r="R15" i="8"/>
  <c r="AH14" i="8"/>
  <c r="AG14" i="8"/>
  <c r="AF14" i="8"/>
  <c r="AD14" i="8"/>
  <c r="AC14" i="8"/>
  <c r="AB14" i="8"/>
  <c r="Z14" i="8"/>
  <c r="Y14" i="8"/>
  <c r="X14" i="8"/>
  <c r="R14" i="8"/>
  <c r="AH13" i="8"/>
  <c r="AG13" i="8"/>
  <c r="AF13" i="8"/>
  <c r="AD13" i="8"/>
  <c r="AC13" i="8"/>
  <c r="AB13" i="8"/>
  <c r="Z13" i="8"/>
  <c r="Y13" i="8"/>
  <c r="X13" i="8"/>
  <c r="R13" i="8"/>
  <c r="AH12" i="8"/>
  <c r="AG12" i="8"/>
  <c r="AF12" i="8"/>
  <c r="AD12" i="8"/>
  <c r="AC12" i="8"/>
  <c r="AB12" i="8"/>
  <c r="Z12" i="8"/>
  <c r="Y12" i="8"/>
  <c r="X12" i="8"/>
  <c r="R12" i="8"/>
  <c r="AH11" i="8"/>
  <c r="AG11" i="8"/>
  <c r="AF11" i="8"/>
  <c r="AD11" i="8"/>
  <c r="AC11" i="8"/>
  <c r="AB11" i="8"/>
  <c r="Z11" i="8"/>
  <c r="Y11" i="8"/>
  <c r="X11" i="8"/>
  <c r="R11" i="8"/>
  <c r="AH10" i="8"/>
  <c r="AG10" i="8"/>
  <c r="AF10" i="8"/>
  <c r="AD10" i="8"/>
  <c r="AC10" i="8"/>
  <c r="AB10" i="8"/>
  <c r="Z10" i="8"/>
  <c r="Y10" i="8"/>
  <c r="X10" i="8"/>
  <c r="R10" i="8"/>
  <c r="AH9" i="8"/>
  <c r="AG9" i="8"/>
  <c r="AF9" i="8"/>
  <c r="AD9" i="8"/>
  <c r="AC9" i="8"/>
  <c r="AB9" i="8"/>
  <c r="Z9" i="8"/>
  <c r="Y9" i="8"/>
  <c r="X9" i="8"/>
  <c r="R9" i="8"/>
  <c r="AH8" i="8"/>
  <c r="AG8" i="8"/>
  <c r="AF8" i="8"/>
  <c r="AD8" i="8"/>
  <c r="AC8" i="8"/>
  <c r="AB8" i="8"/>
  <c r="Z8" i="8"/>
  <c r="Y8" i="8"/>
  <c r="X8" i="8"/>
  <c r="R8" i="8"/>
  <c r="AH7" i="8"/>
  <c r="AG7" i="8"/>
  <c r="AF7" i="8"/>
  <c r="AD7" i="8"/>
  <c r="AC7" i="8"/>
  <c r="AB7" i="8"/>
  <c r="Z7" i="8"/>
  <c r="Y7" i="8"/>
  <c r="X7" i="8"/>
  <c r="R7" i="8"/>
  <c r="AH6" i="8"/>
  <c r="AG6" i="8"/>
  <c r="AF6" i="8"/>
  <c r="AD6" i="8"/>
  <c r="AC6" i="8"/>
  <c r="AB6" i="8"/>
  <c r="Z6" i="8"/>
  <c r="Y6" i="8"/>
  <c r="X6" i="8"/>
  <c r="R6" i="8"/>
  <c r="AH5" i="8"/>
  <c r="AG5" i="8"/>
  <c r="AF5" i="8"/>
  <c r="AD5" i="8"/>
  <c r="AC5" i="8"/>
  <c r="AB5" i="8"/>
  <c r="Z5" i="8"/>
  <c r="Y5" i="8"/>
  <c r="X5" i="8"/>
  <c r="R5" i="8"/>
  <c r="AH4" i="8"/>
  <c r="AG4" i="8"/>
  <c r="AF4" i="8"/>
  <c r="AD4" i="8"/>
  <c r="AC4" i="8"/>
  <c r="AB4" i="8"/>
  <c r="Z4" i="8"/>
  <c r="Y4" i="8"/>
  <c r="X4" i="8"/>
  <c r="R4" i="8"/>
  <c r="AH3" i="8"/>
  <c r="AG3" i="8"/>
  <c r="AF3" i="8"/>
  <c r="AD3" i="8"/>
  <c r="AC3" i="8"/>
  <c r="AB3" i="8"/>
  <c r="Z3" i="8"/>
  <c r="Y3" i="8"/>
  <c r="X3" i="8"/>
  <c r="R3" i="8"/>
  <c r="AH2" i="8"/>
  <c r="AG2" i="8"/>
  <c r="AF2" i="8"/>
  <c r="AD2" i="8"/>
  <c r="AC2" i="8"/>
  <c r="AB2" i="8"/>
  <c r="Z2" i="8"/>
  <c r="Y2" i="8"/>
  <c r="X2" i="8"/>
  <c r="R2" i="8"/>
  <c r="AH16" i="7" l="1"/>
  <c r="AG16" i="7"/>
  <c r="AF16" i="7"/>
  <c r="AD16" i="7"/>
  <c r="AC16" i="7"/>
  <c r="AB16" i="7"/>
  <c r="Z16" i="7"/>
  <c r="Y16" i="7"/>
  <c r="X16" i="7"/>
  <c r="R16" i="7"/>
  <c r="AH15" i="7"/>
  <c r="AG15" i="7"/>
  <c r="AF15" i="7"/>
  <c r="AD15" i="7"/>
  <c r="AC15" i="7"/>
  <c r="AB15" i="7"/>
  <c r="Z15" i="7"/>
  <c r="Y15" i="7"/>
  <c r="X15" i="7"/>
  <c r="R15" i="7"/>
  <c r="AH14" i="7"/>
  <c r="AG14" i="7"/>
  <c r="AF14" i="7"/>
  <c r="AD14" i="7"/>
  <c r="AC14" i="7"/>
  <c r="AB14" i="7"/>
  <c r="Z14" i="7"/>
  <c r="Y14" i="7"/>
  <c r="X14" i="7"/>
  <c r="R14" i="7"/>
  <c r="AH13" i="7"/>
  <c r="AG13" i="7"/>
  <c r="AF13" i="7"/>
  <c r="AD13" i="7"/>
  <c r="AC13" i="7"/>
  <c r="AB13" i="7"/>
  <c r="Z13" i="7"/>
  <c r="Y13" i="7"/>
  <c r="X13" i="7"/>
  <c r="R13" i="7"/>
  <c r="AH12" i="7"/>
  <c r="AG12" i="7"/>
  <c r="AF12" i="7"/>
  <c r="AD12" i="7"/>
  <c r="AC12" i="7"/>
  <c r="AB12" i="7"/>
  <c r="Z12" i="7"/>
  <c r="Y12" i="7"/>
  <c r="X12" i="7"/>
  <c r="R12" i="7"/>
  <c r="AH11" i="7"/>
  <c r="AG11" i="7"/>
  <c r="AF11" i="7"/>
  <c r="AD11" i="7"/>
  <c r="AC11" i="7"/>
  <c r="AB11" i="7"/>
  <c r="Z11" i="7"/>
  <c r="Y11" i="7"/>
  <c r="X11" i="7"/>
  <c r="R11" i="7"/>
  <c r="AH10" i="7"/>
  <c r="AG10" i="7"/>
  <c r="AF10" i="7"/>
  <c r="AD10" i="7"/>
  <c r="AC10" i="7"/>
  <c r="AB10" i="7"/>
  <c r="Z10" i="7"/>
  <c r="Y10" i="7"/>
  <c r="X10" i="7"/>
  <c r="R10" i="7"/>
  <c r="AH9" i="7"/>
  <c r="AG9" i="7"/>
  <c r="AF9" i="7"/>
  <c r="AD9" i="7"/>
  <c r="AC9" i="7"/>
  <c r="AB9" i="7"/>
  <c r="Z9" i="7"/>
  <c r="Y9" i="7"/>
  <c r="X9" i="7"/>
  <c r="R9" i="7"/>
  <c r="AH8" i="7"/>
  <c r="AG8" i="7"/>
  <c r="AF8" i="7"/>
  <c r="AD8" i="7"/>
  <c r="AC8" i="7"/>
  <c r="AB8" i="7"/>
  <c r="Z8" i="7"/>
  <c r="Y8" i="7"/>
  <c r="X8" i="7"/>
  <c r="R8" i="7"/>
  <c r="AH7" i="7"/>
  <c r="AG7" i="7"/>
  <c r="AF7" i="7"/>
  <c r="AD7" i="7"/>
  <c r="AC7" i="7"/>
  <c r="AB7" i="7"/>
  <c r="Z7" i="7"/>
  <c r="Y7" i="7"/>
  <c r="X7" i="7"/>
  <c r="R7" i="7"/>
  <c r="AH6" i="7"/>
  <c r="AG6" i="7"/>
  <c r="AF6" i="7"/>
  <c r="AD6" i="7"/>
  <c r="AC6" i="7"/>
  <c r="AB6" i="7"/>
  <c r="Z6" i="7"/>
  <c r="Y6" i="7"/>
  <c r="X6" i="7"/>
  <c r="R6" i="7"/>
  <c r="AH5" i="7"/>
  <c r="AG5" i="7"/>
  <c r="AF5" i="7"/>
  <c r="AD5" i="7"/>
  <c r="AC5" i="7"/>
  <c r="AB5" i="7"/>
  <c r="Z5" i="7"/>
  <c r="Y5" i="7"/>
  <c r="X5" i="7"/>
  <c r="R5" i="7"/>
  <c r="AH4" i="7"/>
  <c r="AG4" i="7"/>
  <c r="AF4" i="7"/>
  <c r="AD4" i="7"/>
  <c r="AC4" i="7"/>
  <c r="AB4" i="7"/>
  <c r="Z4" i="7"/>
  <c r="Y4" i="7"/>
  <c r="X4" i="7"/>
  <c r="R4" i="7"/>
  <c r="AH3" i="7"/>
  <c r="AG3" i="7"/>
  <c r="AF3" i="7"/>
  <c r="AD3" i="7"/>
  <c r="AC3" i="7"/>
  <c r="AB3" i="7"/>
  <c r="Z3" i="7"/>
  <c r="Y3" i="7"/>
  <c r="X3" i="7"/>
  <c r="R3" i="7"/>
  <c r="AH2" i="7"/>
  <c r="AG2" i="7"/>
  <c r="AF2" i="7"/>
  <c r="AD2" i="7"/>
  <c r="AC2" i="7"/>
  <c r="AB2" i="7"/>
  <c r="Z2" i="7"/>
  <c r="Y2" i="7"/>
  <c r="X2" i="7"/>
  <c r="R2" i="7"/>
  <c r="AH16" i="6"/>
  <c r="AG16" i="6"/>
  <c r="AF16" i="6"/>
  <c r="AD16" i="6"/>
  <c r="AC16" i="6"/>
  <c r="AB16" i="6"/>
  <c r="Z16" i="6"/>
  <c r="Y16" i="6"/>
  <c r="X16" i="6"/>
  <c r="R16" i="6"/>
  <c r="AH15" i="6"/>
  <c r="AG15" i="6"/>
  <c r="AF15" i="6"/>
  <c r="AD15" i="6"/>
  <c r="AC15" i="6"/>
  <c r="AB15" i="6"/>
  <c r="Z15" i="6"/>
  <c r="Y15" i="6"/>
  <c r="X15" i="6"/>
  <c r="R15" i="6"/>
  <c r="AH14" i="6"/>
  <c r="AG14" i="6"/>
  <c r="AF14" i="6"/>
  <c r="AD14" i="6"/>
  <c r="AC14" i="6"/>
  <c r="AB14" i="6"/>
  <c r="Z14" i="6"/>
  <c r="Y14" i="6"/>
  <c r="X14" i="6"/>
  <c r="R14" i="6"/>
  <c r="AH13" i="6"/>
  <c r="AG13" i="6"/>
  <c r="AF13" i="6"/>
  <c r="AD13" i="6"/>
  <c r="AC13" i="6"/>
  <c r="AB13" i="6"/>
  <c r="Z13" i="6"/>
  <c r="Y13" i="6"/>
  <c r="X13" i="6"/>
  <c r="R13" i="6"/>
  <c r="AH12" i="6"/>
  <c r="AG12" i="6"/>
  <c r="AF12" i="6"/>
  <c r="AD12" i="6"/>
  <c r="AC12" i="6"/>
  <c r="AB12" i="6"/>
  <c r="Z12" i="6"/>
  <c r="Y12" i="6"/>
  <c r="X12" i="6"/>
  <c r="R12" i="6"/>
  <c r="AH11" i="6"/>
  <c r="AG11" i="6"/>
  <c r="AF11" i="6"/>
  <c r="AD11" i="6"/>
  <c r="AC11" i="6"/>
  <c r="AB11" i="6"/>
  <c r="Z11" i="6"/>
  <c r="Y11" i="6"/>
  <c r="X11" i="6"/>
  <c r="R11" i="6"/>
  <c r="AH10" i="6"/>
  <c r="AG10" i="6"/>
  <c r="AF10" i="6"/>
  <c r="AD10" i="6"/>
  <c r="AC10" i="6"/>
  <c r="AB10" i="6"/>
  <c r="Z10" i="6"/>
  <c r="Y10" i="6"/>
  <c r="X10" i="6"/>
  <c r="R10" i="6"/>
  <c r="AH9" i="6"/>
  <c r="AG9" i="6"/>
  <c r="AF9" i="6"/>
  <c r="AD9" i="6"/>
  <c r="AC9" i="6"/>
  <c r="AB9" i="6"/>
  <c r="Z9" i="6"/>
  <c r="Y9" i="6"/>
  <c r="X9" i="6"/>
  <c r="R9" i="6"/>
  <c r="AH8" i="6"/>
  <c r="AG8" i="6"/>
  <c r="AF8" i="6"/>
  <c r="AD8" i="6"/>
  <c r="AC8" i="6"/>
  <c r="AB8" i="6"/>
  <c r="Z8" i="6"/>
  <c r="Y8" i="6"/>
  <c r="X8" i="6"/>
  <c r="R8" i="6"/>
  <c r="AH7" i="6"/>
  <c r="AG7" i="6"/>
  <c r="AF7" i="6"/>
  <c r="AD7" i="6"/>
  <c r="AC7" i="6"/>
  <c r="AB7" i="6"/>
  <c r="Z7" i="6"/>
  <c r="Y7" i="6"/>
  <c r="X7" i="6"/>
  <c r="R7" i="6"/>
  <c r="AH6" i="6"/>
  <c r="AG6" i="6"/>
  <c r="AF6" i="6"/>
  <c r="AD6" i="6"/>
  <c r="AC6" i="6"/>
  <c r="AB6" i="6"/>
  <c r="Z6" i="6"/>
  <c r="Y6" i="6"/>
  <c r="X6" i="6"/>
  <c r="R6" i="6"/>
  <c r="AH5" i="6"/>
  <c r="AG5" i="6"/>
  <c r="AF5" i="6"/>
  <c r="AD5" i="6"/>
  <c r="AC5" i="6"/>
  <c r="AB5" i="6"/>
  <c r="Z5" i="6"/>
  <c r="Y5" i="6"/>
  <c r="X5" i="6"/>
  <c r="R5" i="6"/>
  <c r="AH4" i="6"/>
  <c r="AG4" i="6"/>
  <c r="AF4" i="6"/>
  <c r="AD4" i="6"/>
  <c r="AC4" i="6"/>
  <c r="AB4" i="6"/>
  <c r="Z4" i="6"/>
  <c r="Y4" i="6"/>
  <c r="X4" i="6"/>
  <c r="R4" i="6"/>
  <c r="AH3" i="6"/>
  <c r="AG3" i="6"/>
  <c r="AF3" i="6"/>
  <c r="AD3" i="6"/>
  <c r="AC3" i="6"/>
  <c r="AB3" i="6"/>
  <c r="Z3" i="6"/>
  <c r="Y3" i="6"/>
  <c r="X3" i="6"/>
  <c r="R3" i="6"/>
  <c r="AH2" i="6"/>
  <c r="AG2" i="6"/>
  <c r="AF2" i="6"/>
  <c r="AD2" i="6"/>
  <c r="AC2" i="6"/>
  <c r="AB2" i="6"/>
  <c r="Z2" i="6"/>
  <c r="Y2" i="6"/>
  <c r="X2" i="6"/>
  <c r="R2" i="6"/>
  <c r="AH16" i="5" l="1"/>
  <c r="AG16" i="5"/>
  <c r="AF16" i="5"/>
  <c r="AD16" i="5"/>
  <c r="AC16" i="5"/>
  <c r="AB16" i="5"/>
  <c r="Z16" i="5"/>
  <c r="Y16" i="5"/>
  <c r="X16" i="5"/>
  <c r="R16" i="5"/>
  <c r="AH15" i="5"/>
  <c r="AG15" i="5"/>
  <c r="AF15" i="5"/>
  <c r="AD15" i="5"/>
  <c r="AC15" i="5"/>
  <c r="AB15" i="5"/>
  <c r="Z15" i="5"/>
  <c r="Y15" i="5"/>
  <c r="X15" i="5"/>
  <c r="R15" i="5"/>
  <c r="AH14" i="5"/>
  <c r="AG14" i="5"/>
  <c r="AF14" i="5"/>
  <c r="AD14" i="5"/>
  <c r="AC14" i="5"/>
  <c r="AB14" i="5"/>
  <c r="Z14" i="5"/>
  <c r="Y14" i="5"/>
  <c r="X14" i="5"/>
  <c r="R14" i="5"/>
  <c r="AH13" i="5"/>
  <c r="AG13" i="5"/>
  <c r="AF13" i="5"/>
  <c r="AD13" i="5"/>
  <c r="AC13" i="5"/>
  <c r="AB13" i="5"/>
  <c r="Z13" i="5"/>
  <c r="Y13" i="5"/>
  <c r="X13" i="5"/>
  <c r="R13" i="5"/>
  <c r="AH12" i="5"/>
  <c r="AG12" i="5"/>
  <c r="AF12" i="5"/>
  <c r="AD12" i="5"/>
  <c r="AC12" i="5"/>
  <c r="AB12" i="5"/>
  <c r="Z12" i="5"/>
  <c r="Y12" i="5"/>
  <c r="X12" i="5"/>
  <c r="R12" i="5"/>
  <c r="AH11" i="5"/>
  <c r="AG11" i="5"/>
  <c r="AF11" i="5"/>
  <c r="AD11" i="5"/>
  <c r="AC11" i="5"/>
  <c r="AB11" i="5"/>
  <c r="Z11" i="5"/>
  <c r="Y11" i="5"/>
  <c r="X11" i="5"/>
  <c r="R11" i="5"/>
  <c r="AH10" i="5"/>
  <c r="AG10" i="5"/>
  <c r="AF10" i="5"/>
  <c r="AD10" i="5"/>
  <c r="AC10" i="5"/>
  <c r="AB10" i="5"/>
  <c r="Z10" i="5"/>
  <c r="Y10" i="5"/>
  <c r="X10" i="5"/>
  <c r="R10" i="5"/>
  <c r="AH9" i="5"/>
  <c r="AG9" i="5"/>
  <c r="AF9" i="5"/>
  <c r="AD9" i="5"/>
  <c r="AC9" i="5"/>
  <c r="AB9" i="5"/>
  <c r="Z9" i="5"/>
  <c r="Y9" i="5"/>
  <c r="X9" i="5"/>
  <c r="R9" i="5"/>
  <c r="AH8" i="5"/>
  <c r="AG8" i="5"/>
  <c r="AF8" i="5"/>
  <c r="AD8" i="5"/>
  <c r="AC8" i="5"/>
  <c r="AB8" i="5"/>
  <c r="Z8" i="5"/>
  <c r="Y8" i="5"/>
  <c r="X8" i="5"/>
  <c r="R8" i="5"/>
  <c r="AH7" i="5"/>
  <c r="AG7" i="5"/>
  <c r="AF7" i="5"/>
  <c r="AD7" i="5"/>
  <c r="AC7" i="5"/>
  <c r="AB7" i="5"/>
  <c r="Z7" i="5"/>
  <c r="Y7" i="5"/>
  <c r="X7" i="5"/>
  <c r="R7" i="5"/>
  <c r="AH6" i="5"/>
  <c r="AG6" i="5"/>
  <c r="AF6" i="5"/>
  <c r="AD6" i="5"/>
  <c r="AC6" i="5"/>
  <c r="AB6" i="5"/>
  <c r="Z6" i="5"/>
  <c r="Y6" i="5"/>
  <c r="X6" i="5"/>
  <c r="R6" i="5"/>
  <c r="AH5" i="5"/>
  <c r="AG5" i="5"/>
  <c r="AF5" i="5"/>
  <c r="AD5" i="5"/>
  <c r="AC5" i="5"/>
  <c r="AB5" i="5"/>
  <c r="Z5" i="5"/>
  <c r="Y5" i="5"/>
  <c r="X5" i="5"/>
  <c r="R5" i="5"/>
  <c r="AH4" i="5"/>
  <c r="AG4" i="5"/>
  <c r="AF4" i="5"/>
  <c r="AD4" i="5"/>
  <c r="AC4" i="5"/>
  <c r="AB4" i="5"/>
  <c r="Z4" i="5"/>
  <c r="Y4" i="5"/>
  <c r="X4" i="5"/>
  <c r="R4" i="5"/>
  <c r="AH3" i="5"/>
  <c r="AG3" i="5"/>
  <c r="AF3" i="5"/>
  <c r="AD3" i="5"/>
  <c r="AC3" i="5"/>
  <c r="AB3" i="5"/>
  <c r="Z3" i="5"/>
  <c r="Y3" i="5"/>
  <c r="X3" i="5"/>
  <c r="R3" i="5"/>
  <c r="AH2" i="5"/>
  <c r="AG2" i="5"/>
  <c r="AF2" i="5"/>
  <c r="AD2" i="5"/>
  <c r="AC2" i="5"/>
  <c r="AB2" i="5"/>
  <c r="Z2" i="5"/>
  <c r="Y2" i="5"/>
  <c r="X2" i="5"/>
  <c r="R2" i="5"/>
  <c r="AH16" i="4"/>
  <c r="AG16" i="4"/>
  <c r="AF16" i="4"/>
  <c r="AD16" i="4"/>
  <c r="AC16" i="4"/>
  <c r="AB16" i="4"/>
  <c r="Z16" i="4"/>
  <c r="Y16" i="4"/>
  <c r="X16" i="4"/>
  <c r="R16" i="4"/>
  <c r="AH15" i="4"/>
  <c r="AG15" i="4"/>
  <c r="AF15" i="4"/>
  <c r="AD15" i="4"/>
  <c r="AC15" i="4"/>
  <c r="AB15" i="4"/>
  <c r="Z15" i="4"/>
  <c r="Y15" i="4"/>
  <c r="X15" i="4"/>
  <c r="R15" i="4"/>
  <c r="AH14" i="4"/>
  <c r="AG14" i="4"/>
  <c r="AF14" i="4"/>
  <c r="AD14" i="4"/>
  <c r="AC14" i="4"/>
  <c r="AB14" i="4"/>
  <c r="Z14" i="4"/>
  <c r="Y14" i="4"/>
  <c r="X14" i="4"/>
  <c r="R14" i="4"/>
  <c r="AH13" i="4"/>
  <c r="AG13" i="4"/>
  <c r="AF13" i="4"/>
  <c r="AD13" i="4"/>
  <c r="AC13" i="4"/>
  <c r="AB13" i="4"/>
  <c r="Z13" i="4"/>
  <c r="Y13" i="4"/>
  <c r="X13" i="4"/>
  <c r="R13" i="4"/>
  <c r="AH12" i="4"/>
  <c r="AG12" i="4"/>
  <c r="AF12" i="4"/>
  <c r="AD12" i="4"/>
  <c r="AC12" i="4"/>
  <c r="AB12" i="4"/>
  <c r="Z12" i="4"/>
  <c r="Y12" i="4"/>
  <c r="X12" i="4"/>
  <c r="R12" i="4"/>
  <c r="AH11" i="4"/>
  <c r="AG11" i="4"/>
  <c r="AF11" i="4"/>
  <c r="AD11" i="4"/>
  <c r="AC11" i="4"/>
  <c r="AB11" i="4"/>
  <c r="Z11" i="4"/>
  <c r="Y11" i="4"/>
  <c r="X11" i="4"/>
  <c r="R11" i="4"/>
  <c r="AH10" i="4"/>
  <c r="AG10" i="4"/>
  <c r="AF10" i="4"/>
  <c r="AD10" i="4"/>
  <c r="AC10" i="4"/>
  <c r="AB10" i="4"/>
  <c r="Z10" i="4"/>
  <c r="Y10" i="4"/>
  <c r="X10" i="4"/>
  <c r="R10" i="4"/>
  <c r="AH9" i="4"/>
  <c r="AG9" i="4"/>
  <c r="AF9" i="4"/>
  <c r="AD9" i="4"/>
  <c r="AC9" i="4"/>
  <c r="AB9" i="4"/>
  <c r="Z9" i="4"/>
  <c r="Y9" i="4"/>
  <c r="X9" i="4"/>
  <c r="R9" i="4"/>
  <c r="AH8" i="4"/>
  <c r="AG8" i="4"/>
  <c r="AF8" i="4"/>
  <c r="AD8" i="4"/>
  <c r="AC8" i="4"/>
  <c r="AB8" i="4"/>
  <c r="Z8" i="4"/>
  <c r="Y8" i="4"/>
  <c r="X8" i="4"/>
  <c r="R8" i="4"/>
  <c r="AH7" i="4"/>
  <c r="AG7" i="4"/>
  <c r="AF7" i="4"/>
  <c r="AD7" i="4"/>
  <c r="AC7" i="4"/>
  <c r="AB7" i="4"/>
  <c r="Z7" i="4"/>
  <c r="Y7" i="4"/>
  <c r="X7" i="4"/>
  <c r="R7" i="4"/>
  <c r="AH6" i="4"/>
  <c r="AG6" i="4"/>
  <c r="AF6" i="4"/>
  <c r="AD6" i="4"/>
  <c r="AC6" i="4"/>
  <c r="AB6" i="4"/>
  <c r="Z6" i="4"/>
  <c r="Y6" i="4"/>
  <c r="X6" i="4"/>
  <c r="R6" i="4"/>
  <c r="AH5" i="4"/>
  <c r="AG5" i="4"/>
  <c r="AF5" i="4"/>
  <c r="AD5" i="4"/>
  <c r="AC5" i="4"/>
  <c r="AB5" i="4"/>
  <c r="Z5" i="4"/>
  <c r="Y5" i="4"/>
  <c r="X5" i="4"/>
  <c r="R5" i="4"/>
  <c r="AH4" i="4"/>
  <c r="AG4" i="4"/>
  <c r="AF4" i="4"/>
  <c r="AD4" i="4"/>
  <c r="AC4" i="4"/>
  <c r="AB4" i="4"/>
  <c r="Z4" i="4"/>
  <c r="Y4" i="4"/>
  <c r="X4" i="4"/>
  <c r="R4" i="4"/>
  <c r="AH3" i="4"/>
  <c r="AG3" i="4"/>
  <c r="AF3" i="4"/>
  <c r="AD3" i="4"/>
  <c r="AC3" i="4"/>
  <c r="AB3" i="4"/>
  <c r="Z3" i="4"/>
  <c r="Y3" i="4"/>
  <c r="X3" i="4"/>
  <c r="R3" i="4"/>
  <c r="AH2" i="4"/>
  <c r="AG2" i="4"/>
  <c r="AF2" i="4"/>
  <c r="AD2" i="4"/>
  <c r="AC2" i="4"/>
  <c r="AB2" i="4"/>
  <c r="Z2" i="4"/>
  <c r="Y2" i="4"/>
  <c r="X2" i="4"/>
  <c r="R2" i="4"/>
  <c r="AH16" i="3"/>
  <c r="AG16" i="3"/>
  <c r="AF16" i="3"/>
  <c r="AD16" i="3"/>
  <c r="AC16" i="3"/>
  <c r="AB16" i="3"/>
  <c r="Z16" i="3"/>
  <c r="Y16" i="3"/>
  <c r="X16" i="3"/>
  <c r="R16" i="3"/>
  <c r="AH15" i="3"/>
  <c r="AG15" i="3"/>
  <c r="AF15" i="3"/>
  <c r="AD15" i="3"/>
  <c r="AC15" i="3"/>
  <c r="AB15" i="3"/>
  <c r="Z15" i="3"/>
  <c r="Y15" i="3"/>
  <c r="X15" i="3"/>
  <c r="R15" i="3"/>
  <c r="AH14" i="3"/>
  <c r="AG14" i="3"/>
  <c r="AF14" i="3"/>
  <c r="AD14" i="3"/>
  <c r="AC14" i="3"/>
  <c r="AB14" i="3"/>
  <c r="Z14" i="3"/>
  <c r="Y14" i="3"/>
  <c r="X14" i="3"/>
  <c r="R14" i="3"/>
  <c r="AH13" i="3"/>
  <c r="AG13" i="3"/>
  <c r="AF13" i="3"/>
  <c r="AD13" i="3"/>
  <c r="AC13" i="3"/>
  <c r="AB13" i="3"/>
  <c r="Z13" i="3"/>
  <c r="Y13" i="3"/>
  <c r="X13" i="3"/>
  <c r="R13" i="3"/>
  <c r="AH12" i="3"/>
  <c r="AG12" i="3"/>
  <c r="AF12" i="3"/>
  <c r="AD12" i="3"/>
  <c r="AC12" i="3"/>
  <c r="AB12" i="3"/>
  <c r="Z12" i="3"/>
  <c r="Y12" i="3"/>
  <c r="X12" i="3"/>
  <c r="R12" i="3"/>
  <c r="AH11" i="3"/>
  <c r="AG11" i="3"/>
  <c r="AF11" i="3"/>
  <c r="AD11" i="3"/>
  <c r="AC11" i="3"/>
  <c r="AB11" i="3"/>
  <c r="Z11" i="3"/>
  <c r="Y11" i="3"/>
  <c r="X11" i="3"/>
  <c r="R11" i="3"/>
  <c r="AH10" i="3"/>
  <c r="AG10" i="3"/>
  <c r="AF10" i="3"/>
  <c r="AD10" i="3"/>
  <c r="AC10" i="3"/>
  <c r="AB10" i="3"/>
  <c r="Z10" i="3"/>
  <c r="Y10" i="3"/>
  <c r="X10" i="3"/>
  <c r="R10" i="3"/>
  <c r="AH9" i="3"/>
  <c r="AG9" i="3"/>
  <c r="AF9" i="3"/>
  <c r="AD9" i="3"/>
  <c r="AC9" i="3"/>
  <c r="AB9" i="3"/>
  <c r="Z9" i="3"/>
  <c r="Y9" i="3"/>
  <c r="X9" i="3"/>
  <c r="R9" i="3"/>
  <c r="AH8" i="3"/>
  <c r="AG8" i="3"/>
  <c r="AF8" i="3"/>
  <c r="AD8" i="3"/>
  <c r="AC8" i="3"/>
  <c r="AB8" i="3"/>
  <c r="Z8" i="3"/>
  <c r="Y8" i="3"/>
  <c r="X8" i="3"/>
  <c r="R8" i="3"/>
  <c r="AH7" i="3"/>
  <c r="AG7" i="3"/>
  <c r="AF7" i="3"/>
  <c r="AD7" i="3"/>
  <c r="AC7" i="3"/>
  <c r="AB7" i="3"/>
  <c r="Z7" i="3"/>
  <c r="Y7" i="3"/>
  <c r="X7" i="3"/>
  <c r="R7" i="3"/>
  <c r="AH6" i="3"/>
  <c r="AG6" i="3"/>
  <c r="AF6" i="3"/>
  <c r="AD6" i="3"/>
  <c r="AC6" i="3"/>
  <c r="AB6" i="3"/>
  <c r="Z6" i="3"/>
  <c r="Y6" i="3"/>
  <c r="X6" i="3"/>
  <c r="R6" i="3"/>
  <c r="AH5" i="3"/>
  <c r="AG5" i="3"/>
  <c r="AF5" i="3"/>
  <c r="AD5" i="3"/>
  <c r="AC5" i="3"/>
  <c r="AB5" i="3"/>
  <c r="Z5" i="3"/>
  <c r="Y5" i="3"/>
  <c r="X5" i="3"/>
  <c r="R5" i="3"/>
  <c r="AH4" i="3"/>
  <c r="AG4" i="3"/>
  <c r="AF4" i="3"/>
  <c r="AD4" i="3"/>
  <c r="AC4" i="3"/>
  <c r="AB4" i="3"/>
  <c r="Z4" i="3"/>
  <c r="Y4" i="3"/>
  <c r="X4" i="3"/>
  <c r="R4" i="3"/>
  <c r="AH3" i="3"/>
  <c r="AG3" i="3"/>
  <c r="AF3" i="3"/>
  <c r="AD3" i="3"/>
  <c r="AC3" i="3"/>
  <c r="AB3" i="3"/>
  <c r="Z3" i="3"/>
  <c r="Y3" i="3"/>
  <c r="X3" i="3"/>
  <c r="R3" i="3"/>
  <c r="AH2" i="3"/>
  <c r="AG2" i="3"/>
  <c r="AF2" i="3"/>
  <c r="AD2" i="3"/>
  <c r="AC2" i="3"/>
  <c r="AB2" i="3"/>
  <c r="Z2" i="3"/>
  <c r="Y2" i="3"/>
  <c r="X2" i="3"/>
  <c r="R2" i="3"/>
  <c r="AG3" i="2" l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2" i="2"/>
  <c r="AH3" i="2" l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2" i="2"/>
</calcChain>
</file>

<file path=xl/sharedStrings.xml><?xml version="1.0" encoding="utf-8"?>
<sst xmlns="http://schemas.openxmlformats.org/spreadsheetml/2006/main" count="816" uniqueCount="57">
  <si>
    <t>Pixel:</t>
  </si>
  <si>
    <t>x</t>
  </si>
  <si>
    <t>y</t>
  </si>
  <si>
    <t>z</t>
  </si>
  <si>
    <t>DeltaDepth:</t>
  </si>
  <si>
    <t>DeltaPC:</t>
  </si>
  <si>
    <t>Depth_Cam:</t>
  </si>
  <si>
    <t>RobotSpitzeCam</t>
  </si>
  <si>
    <t>RobotSpitzeCamAbstand</t>
  </si>
  <si>
    <t>PC_Cam</t>
  </si>
  <si>
    <t>RobotCoord:</t>
  </si>
  <si>
    <t>DeltaPixel2Center:</t>
  </si>
  <si>
    <t>DeltaAbstand</t>
  </si>
  <si>
    <t>In_between</t>
  </si>
  <si>
    <t>CENTER</t>
  </si>
  <si>
    <t>CorrectedDepthCam:</t>
  </si>
  <si>
    <t>CorrectedDepthRobot:</t>
  </si>
  <si>
    <t>RobotSpitzeCam:</t>
  </si>
  <si>
    <t>RobotSpitze:</t>
  </si>
  <si>
    <t>TOPLEFT</t>
  </si>
  <si>
    <t>DeltaXCam</t>
  </si>
  <si>
    <t>DeltaXRob</t>
  </si>
  <si>
    <t>DeltaYCam</t>
  </si>
  <si>
    <t>DeltaYRob</t>
  </si>
  <si>
    <t>DeltaZCam</t>
  </si>
  <si>
    <t>DeltaZRob</t>
  </si>
  <si>
    <t>TOPRIGHT</t>
  </si>
  <si>
    <t>BUTTOMLEFT</t>
  </si>
  <si>
    <t>BUTTOMRIGHT</t>
  </si>
  <si>
    <t>CENTER5</t>
  </si>
  <si>
    <t>DeltaZCAM</t>
  </si>
  <si>
    <t>DeltaZ</t>
  </si>
  <si>
    <t>Delta</t>
  </si>
  <si>
    <t>Measurements</t>
  </si>
  <si>
    <t>Bluex5</t>
  </si>
  <si>
    <t>Bluex3</t>
  </si>
  <si>
    <t>Bluex1</t>
  </si>
  <si>
    <t>Redx5</t>
  </si>
  <si>
    <t>Redx3</t>
  </si>
  <si>
    <t>Redx1</t>
  </si>
  <si>
    <t>CorrectLength</t>
  </si>
  <si>
    <t>B</t>
  </si>
  <si>
    <t>G</t>
  </si>
  <si>
    <t>R</t>
  </si>
  <si>
    <t>BLUE</t>
  </si>
  <si>
    <t>RED</t>
  </si>
  <si>
    <t>YELLOW</t>
  </si>
  <si>
    <t>GREEN</t>
  </si>
  <si>
    <t>ORANGE</t>
  </si>
  <si>
    <t>WHITE</t>
  </si>
  <si>
    <t>LGREEN</t>
  </si>
  <si>
    <t>LBLUE</t>
  </si>
  <si>
    <t>DeltaX/DeltaZ=a</t>
  </si>
  <si>
    <t>a</t>
  </si>
  <si>
    <t>Cx/Cz</t>
  </si>
  <si>
    <t>Depth:Cx/Cz</t>
  </si>
  <si>
    <t>DepthX/SpiteZ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</si>
</sst>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2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readingOrder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ont="1" applyFill="1"/>
    <xf numFmtId="0" fontId="0" fillId="12" borderId="0" xfId="0" applyFont="1" applyFill="1"/>
    <xf numFmtId="0" fontId="0" fillId="14" borderId="0" xfId="0" applyFont="1" applyFill="1"/>
    <xf numFmtId="0" fontId="0" fillId="13" borderId="0" xfId="0" applyFont="1" applyFill="1"/>
    <xf numFmtId="0" fontId="1" fillId="2" borderId="0" xfId="0" applyFont="1" applyFill="1"/>
    <xf numFmtId="0" fontId="2" fillId="0" borderId="0" xfId="0" applyFont="1"/>
    <xf numFmtId="0" fontId="2" fillId="7" borderId="0" xfId="0" applyFont="1" applyFill="1"/>
    <xf numFmtId="0" fontId="2" fillId="8" borderId="0" xfId="0" applyFont="1" applyFill="1"/>
    <xf numFmtId="0" fontId="1" fillId="3" borderId="0" xfId="0" applyFont="1" applyFill="1"/>
    <xf numFmtId="0" fontId="0" fillId="15" borderId="0" xfId="0" applyFill="1"/>
    <xf numFmtId="0" fontId="0" fillId="16" borderId="0" xfId="0" applyFill="1"/>
    <xf numFmtId="0" fontId="0" fillId="0" borderId="0" xfId="0" applyFill="1"/>
    <xf numFmtId="0" fontId="2" fillId="13" borderId="0" xfId="0" applyFont="1" applyFill="1"/>
    <xf numFmtId="0" fontId="2" fillId="14" borderId="0" xfId="0" applyFont="1" applyFill="1"/>
    <xf numFmtId="0" fontId="2" fillId="0" borderId="0" xfId="0" applyFont="1" applyFill="1"/>
    <xf numFmtId="0" fontId="0" fillId="11" borderId="0" xfId="0" applyFill="1"/>
    <xf numFmtId="0" fontId="2" fillId="11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12" borderId="0" xfId="0" applyFill="1"/>
    <xf numFmtId="0" fontId="1" fillId="2" borderId="0" xfId="0" applyFont="1" applyFill="1" applyAlignment="1">
      <alignment horizontal="center"/>
    </xf>
    <xf numFmtId="0" fontId="3" fillId="22" borderId="0" xfId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PixelX, Delta 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Blue!$C$2:$C$6</c:f>
              <c:numCache>
                <c:formatCode>General</c:formatCode>
                <c:ptCount val="5"/>
                <c:pt idx="0">
                  <c:v>500</c:v>
                </c:pt>
                <c:pt idx="1">
                  <c:v>576</c:v>
                </c:pt>
                <c:pt idx="2">
                  <c:v>650</c:v>
                </c:pt>
                <c:pt idx="3">
                  <c:v>727</c:v>
                </c:pt>
                <c:pt idx="4">
                  <c:v>804</c:v>
                </c:pt>
              </c:numCache>
            </c:numRef>
          </c:xVal>
          <c:yVal>
            <c:numRef>
              <c:f>Blue!$X$2:$X$6</c:f>
              <c:numCache>
                <c:formatCode>General</c:formatCode>
                <c:ptCount val="5"/>
                <c:pt idx="0">
                  <c:v>3.7800000000000011</c:v>
                </c:pt>
                <c:pt idx="1">
                  <c:v>1.6599999999999966</c:v>
                </c:pt>
                <c:pt idx="2">
                  <c:v>1.0000000000001563E-2</c:v>
                </c:pt>
                <c:pt idx="3">
                  <c:v>-3.1099999999999994</c:v>
                </c:pt>
                <c:pt idx="4">
                  <c:v>-6.0600000000000023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0232"/>
        <c:axId val="121686704"/>
      </c:scatterChart>
      <c:valAx>
        <c:axId val="12169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686704"/>
        <c:crosses val="autoZero"/>
        <c:crossBetween val="midCat"/>
      </c:valAx>
      <c:valAx>
        <c:axId val="1216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69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BlueTest!$Z$24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BlueTest!$Z$25:$Z$27</c:f>
              <c:numCache>
                <c:formatCode>General</c:formatCode>
                <c:ptCount val="3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4288"/>
        <c:axId val="155797504"/>
      </c:scatterChart>
      <c:valAx>
        <c:axId val="39385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797504"/>
        <c:crosses val="autoZero"/>
        <c:crossBetween val="midCat"/>
      </c:valAx>
      <c:valAx>
        <c:axId val="1557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385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a_soll, a_ist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4.3919510061242342E-4"/>
                  <c:y val="-0.229913969087197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BlueTest!$J$50:$J$64</c:f>
              <c:numCache>
                <c:formatCode>General</c:formatCode>
                <c:ptCount val="15"/>
                <c:pt idx="0">
                  <c:v>-0.26116793000000005</c:v>
                </c:pt>
                <c:pt idx="1">
                  <c:v>-0.18015593000000008</c:v>
                </c:pt>
                <c:pt idx="2">
                  <c:v>-0.1347892100000001</c:v>
                </c:pt>
                <c:pt idx="3">
                  <c:v>-0.1169665700000001</c:v>
                </c:pt>
                <c:pt idx="4">
                  <c:v>-5.377721000000002E-2</c:v>
                </c:pt>
                <c:pt idx="5">
                  <c:v>-3.1093850000000089E-2</c:v>
                </c:pt>
                <c:pt idx="6">
                  <c:v>-1.6511689999999968E-2</c:v>
                </c:pt>
                <c:pt idx="7">
                  <c:v>2.3994309999999963E-2</c:v>
                </c:pt>
                <c:pt idx="8">
                  <c:v>6.7740789999999995E-2</c:v>
                </c:pt>
                <c:pt idx="9">
                  <c:v>0.11148727000000003</c:v>
                </c:pt>
                <c:pt idx="10">
                  <c:v>0.1357908699999999</c:v>
                </c:pt>
                <c:pt idx="11">
                  <c:v>0.15685398999999989</c:v>
                </c:pt>
                <c:pt idx="12">
                  <c:v>0.16657542999999997</c:v>
                </c:pt>
                <c:pt idx="13">
                  <c:v>0.2427267099999999</c:v>
                </c:pt>
                <c:pt idx="14">
                  <c:v>0.26865055000000004</c:v>
                </c:pt>
              </c:numCache>
            </c:numRef>
          </c:xVal>
          <c:yVal>
            <c:numRef>
              <c:f>BlueTest!$L$50:$L$64</c:f>
              <c:numCache>
                <c:formatCode>General</c:formatCode>
                <c:ptCount val="15"/>
                <c:pt idx="0">
                  <c:v>-0.12713263621353921</c:v>
                </c:pt>
                <c:pt idx="1">
                  <c:v>-3.4623217922606267E-2</c:v>
                </c:pt>
                <c:pt idx="2">
                  <c:v>4.9878345498783741E-2</c:v>
                </c:pt>
                <c:pt idx="3">
                  <c:v>-4.8606994665086375E-2</c:v>
                </c:pt>
                <c:pt idx="4">
                  <c:v>4.002106371774606E-2</c:v>
                </c:pt>
                <c:pt idx="5">
                  <c:v>0.1439336850037681</c:v>
                </c:pt>
                <c:pt idx="6">
                  <c:v>0.17296222664015865</c:v>
                </c:pt>
                <c:pt idx="7">
                  <c:v>7.8001218769043271E-2</c:v>
                </c:pt>
                <c:pt idx="8">
                  <c:v>0.19358741681790689</c:v>
                </c:pt>
                <c:pt idx="9">
                  <c:v>0.33208955223880676</c:v>
                </c:pt>
                <c:pt idx="10">
                  <c:v>0.21780303030303005</c:v>
                </c:pt>
                <c:pt idx="11">
                  <c:v>0.32692307692307848</c:v>
                </c:pt>
                <c:pt idx="12">
                  <c:v>0.2599771949828969</c:v>
                </c:pt>
                <c:pt idx="13">
                  <c:v>0.4434222631094748</c:v>
                </c:pt>
                <c:pt idx="14">
                  <c:v>0.50635208711433699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008888"/>
        <c:axId val="512010456"/>
      </c:scatterChart>
      <c:valAx>
        <c:axId val="51200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2010456"/>
        <c:crosses val="autoZero"/>
        <c:crossBetween val="midCat"/>
      </c:valAx>
      <c:valAx>
        <c:axId val="51201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200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405555555555556E-2"/>
          <c:y val="0.19721055701370663"/>
          <c:w val="0.9034930008748905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Depth/Spitze/a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BlueTest!$P$21:$P$35</c:f>
              <c:numCache>
                <c:formatCode>General</c:formatCode>
                <c:ptCount val="15"/>
                <c:pt idx="0">
                  <c:v>-0.1169665700000001</c:v>
                </c:pt>
                <c:pt idx="1">
                  <c:v>2.3994309999999963E-2</c:v>
                </c:pt>
                <c:pt idx="2">
                  <c:v>0.1357908699999999</c:v>
                </c:pt>
                <c:pt idx="3">
                  <c:v>0.2427267099999999</c:v>
                </c:pt>
                <c:pt idx="4">
                  <c:v>-0.18015593000000008</c:v>
                </c:pt>
                <c:pt idx="5">
                  <c:v>-5.377721000000002E-2</c:v>
                </c:pt>
                <c:pt idx="6">
                  <c:v>6.7740789999999995E-2</c:v>
                </c:pt>
                <c:pt idx="7">
                  <c:v>0.16657542999999997</c:v>
                </c:pt>
                <c:pt idx="8">
                  <c:v>-3.1093850000000089E-2</c:v>
                </c:pt>
                <c:pt idx="9">
                  <c:v>0.11148727000000003</c:v>
                </c:pt>
                <c:pt idx="10">
                  <c:v>0.26865055000000004</c:v>
                </c:pt>
                <c:pt idx="11">
                  <c:v>-0.26116793000000005</c:v>
                </c:pt>
                <c:pt idx="12">
                  <c:v>-0.1347892100000001</c:v>
                </c:pt>
                <c:pt idx="13">
                  <c:v>-1.6511689999999968E-2</c:v>
                </c:pt>
                <c:pt idx="14">
                  <c:v>0.15685398999999989</c:v>
                </c:pt>
              </c:numCache>
            </c:numRef>
          </c:xVal>
          <c:yVal>
            <c:numRef>
              <c:f>BlueTest!$X$21:$X$35</c:f>
              <c:numCache>
                <c:formatCode>General</c:formatCode>
                <c:ptCount val="15"/>
                <c:pt idx="0">
                  <c:v>-0.11941954546021219</c:v>
                </c:pt>
                <c:pt idx="1">
                  <c:v>2.4466057140081834E-2</c:v>
                </c:pt>
                <c:pt idx="2">
                  <c:v>0.13836674019372783</c:v>
                </c:pt>
                <c:pt idx="3">
                  <c:v>0.24596808863449326</c:v>
                </c:pt>
                <c:pt idx="4">
                  <c:v>-0.18372522832436225</c:v>
                </c:pt>
                <c:pt idx="5">
                  <c:v>-5.5069010532185908E-2</c:v>
                </c:pt>
                <c:pt idx="6">
                  <c:v>6.913654092987899E-2</c:v>
                </c:pt>
                <c:pt idx="7">
                  <c:v>0.17029511369134009</c:v>
                </c:pt>
                <c:pt idx="8">
                  <c:v>-3.1651146083255394E-2</c:v>
                </c:pt>
                <c:pt idx="9">
                  <c:v>0.11354829781345142</c:v>
                </c:pt>
                <c:pt idx="10">
                  <c:v>0.27482010383175354</c:v>
                </c:pt>
                <c:pt idx="11">
                  <c:v>-0.26777618124241448</c:v>
                </c:pt>
                <c:pt idx="12">
                  <c:v>-0.13793839672056479</c:v>
                </c:pt>
                <c:pt idx="13">
                  <c:v>-1.6866355450853434E-2</c:v>
                </c:pt>
                <c:pt idx="14">
                  <c:v>0.16028578319064271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85136"/>
        <c:axId val="121688664"/>
      </c:scatterChart>
      <c:valAx>
        <c:axId val="12168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688664"/>
        <c:crosses val="autoZero"/>
        <c:crossBetween val="midCat"/>
      </c:valAx>
      <c:valAx>
        <c:axId val="12168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68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21</xdr:row>
      <xdr:rowOff>103414</xdr:rowOff>
    </xdr:from>
    <xdr:to>
      <xdr:col>16</xdr:col>
      <xdr:colOff>664029</xdr:colOff>
      <xdr:row>36</xdr:row>
      <xdr:rowOff>70757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33338</xdr:rowOff>
    </xdr:from>
    <xdr:to>
      <xdr:col>6</xdr:col>
      <xdr:colOff>590550</xdr:colOff>
      <xdr:row>35</xdr:row>
      <xdr:rowOff>61913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35</xdr:row>
      <xdr:rowOff>176213</xdr:rowOff>
    </xdr:from>
    <xdr:to>
      <xdr:col>21</xdr:col>
      <xdr:colOff>266700</xdr:colOff>
      <xdr:row>51</xdr:row>
      <xdr:rowOff>23813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90488</xdr:colOff>
      <xdr:row>35</xdr:row>
      <xdr:rowOff>128588</xdr:rowOff>
    </xdr:from>
    <xdr:to>
      <xdr:col>20</xdr:col>
      <xdr:colOff>347663</xdr:colOff>
      <xdr:row>50</xdr:row>
      <xdr:rowOff>157163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zoomScale="70" zoomScaleNormal="70" workbookViewId="0">
      <selection activeCell="X22" sqref="X22"/>
    </sheetView>
  </sheetViews>
  <sheetFormatPr baseColWidth="10" defaultColWidth="11.44140625" defaultRowHeight="14.4" x14ac:dyDescent="0.3"/>
  <cols>
    <col min="13" max="13" width="16.88671875" customWidth="1"/>
    <col min="17" max="17" width="25.33203125" customWidth="1"/>
    <col min="19" max="19" width="13.44140625" customWidth="1"/>
    <col min="31" max="31" width="18.5546875" customWidth="1"/>
    <col min="34" max="34" width="16.5546875" customWidth="1"/>
  </cols>
  <sheetData>
    <row r="1" spans="1:34" x14ac:dyDescent="0.3">
      <c r="A1" s="1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 s="30">
        <v>500</v>
      </c>
      <c r="D2" s="30">
        <v>312</v>
      </c>
      <c r="F2">
        <v>-184.91</v>
      </c>
      <c r="G2">
        <v>-77.89</v>
      </c>
      <c r="H2">
        <v>838</v>
      </c>
      <c r="J2">
        <v>-188</v>
      </c>
      <c r="K2">
        <v>-76</v>
      </c>
      <c r="L2">
        <v>838</v>
      </c>
      <c r="N2">
        <v>-181.13</v>
      </c>
      <c r="O2">
        <v>-77.28</v>
      </c>
      <c r="P2">
        <v>821.13</v>
      </c>
      <c r="R2">
        <f t="shared" ref="R2:R16" si="0" xml:space="preserve"> (N2^2+O2^2+P2^2)^0.5</f>
        <v>844.41385126015075</v>
      </c>
      <c r="T2">
        <v>205.6</v>
      </c>
      <c r="U2">
        <v>557.16</v>
      </c>
      <c r="V2">
        <v>50.09</v>
      </c>
      <c r="X2">
        <f t="shared" ref="X2:X16" si="1">N2-F2</f>
        <v>3.7800000000000011</v>
      </c>
      <c r="Y2" s="29">
        <f t="shared" ref="Y2:Y16" si="2">O2-G2</f>
        <v>0.60999999999999943</v>
      </c>
      <c r="Z2" s="28">
        <f t="shared" ref="Z2:Z16" si="3">P2-H2</f>
        <v>-16.870000000000005</v>
      </c>
      <c r="AB2">
        <f t="shared" ref="AB2:AB16" si="4">N2-J2</f>
        <v>6.8700000000000045</v>
      </c>
      <c r="AC2">
        <f t="shared" ref="AC2:AC16" si="5">O2-K2</f>
        <v>-1.2800000000000011</v>
      </c>
      <c r="AD2">
        <f t="shared" ref="AD2:AD16" si="6">P2-L2</f>
        <v>-16.870000000000005</v>
      </c>
      <c r="AF2">
        <f>C2-640</f>
        <v>-140</v>
      </c>
      <c r="AG2">
        <f>D2-360</f>
        <v>-48</v>
      </c>
      <c r="AH2">
        <f t="shared" ref="AH2:AH16" si="7">((C2-640)^2+(D2-360)^2)^0.5</f>
        <v>148</v>
      </c>
    </row>
    <row r="3" spans="1:34" x14ac:dyDescent="0.3">
      <c r="A3">
        <v>2</v>
      </c>
      <c r="C3" s="30">
        <v>576</v>
      </c>
      <c r="D3" s="30">
        <v>313</v>
      </c>
      <c r="F3">
        <v>-81.33</v>
      </c>
      <c r="G3">
        <v>-76.16</v>
      </c>
      <c r="H3">
        <v>834</v>
      </c>
      <c r="J3">
        <v>-84</v>
      </c>
      <c r="K3">
        <v>-75</v>
      </c>
      <c r="L3">
        <v>834</v>
      </c>
      <c r="N3">
        <v>-79.67</v>
      </c>
      <c r="O3">
        <v>-75.06</v>
      </c>
      <c r="P3">
        <v>819.46</v>
      </c>
      <c r="R3">
        <f t="shared" si="0"/>
        <v>826.7381714303508</v>
      </c>
      <c r="T3">
        <v>104.11</v>
      </c>
      <c r="U3">
        <v>557.76</v>
      </c>
      <c r="V3">
        <v>50.16</v>
      </c>
      <c r="X3">
        <f t="shared" si="1"/>
        <v>1.6599999999999966</v>
      </c>
      <c r="Y3" s="29">
        <f t="shared" si="2"/>
        <v>1.0999999999999943</v>
      </c>
      <c r="Z3" s="28">
        <f t="shared" si="3"/>
        <v>-14.539999999999964</v>
      </c>
      <c r="AB3">
        <f t="shared" si="4"/>
        <v>4.3299999999999983</v>
      </c>
      <c r="AC3">
        <f t="shared" si="5"/>
        <v>-6.0000000000002274E-2</v>
      </c>
      <c r="AD3">
        <f t="shared" si="6"/>
        <v>-14.539999999999964</v>
      </c>
      <c r="AF3">
        <f t="shared" ref="AF3:AF16" si="8">C3-640</f>
        <v>-64</v>
      </c>
      <c r="AG3">
        <f t="shared" ref="AG3:AG16" si="9">D3-360</f>
        <v>-47</v>
      </c>
      <c r="AH3">
        <f t="shared" si="7"/>
        <v>79.404030124421269</v>
      </c>
    </row>
    <row r="4" spans="1:34" x14ac:dyDescent="0.3">
      <c r="A4">
        <v>3</v>
      </c>
      <c r="C4" s="30">
        <v>650</v>
      </c>
      <c r="D4" s="30">
        <v>313</v>
      </c>
      <c r="F4">
        <v>18.68</v>
      </c>
      <c r="G4">
        <v>-76.25</v>
      </c>
      <c r="H4">
        <v>838</v>
      </c>
      <c r="J4">
        <v>17</v>
      </c>
      <c r="K4">
        <v>-75</v>
      </c>
      <c r="L4">
        <v>835</v>
      </c>
      <c r="N4">
        <v>18.690000000000001</v>
      </c>
      <c r="O4">
        <v>-73.81</v>
      </c>
      <c r="P4">
        <v>818.6</v>
      </c>
      <c r="R4">
        <f t="shared" si="0"/>
        <v>822.13331777759743</v>
      </c>
      <c r="T4">
        <v>5.73</v>
      </c>
      <c r="U4">
        <v>557.16999999999996</v>
      </c>
      <c r="V4">
        <v>50.13</v>
      </c>
      <c r="X4">
        <f t="shared" si="1"/>
        <v>1.0000000000001563E-2</v>
      </c>
      <c r="Y4" s="29">
        <f t="shared" si="2"/>
        <v>2.4399999999999977</v>
      </c>
      <c r="Z4" s="28">
        <f t="shared" si="3"/>
        <v>-19.399999999999977</v>
      </c>
      <c r="AB4">
        <f t="shared" si="4"/>
        <v>1.6900000000000013</v>
      </c>
      <c r="AC4">
        <f t="shared" si="5"/>
        <v>1.1899999999999977</v>
      </c>
      <c r="AD4">
        <f t="shared" si="6"/>
        <v>-16.399999999999977</v>
      </c>
      <c r="AF4">
        <f t="shared" si="8"/>
        <v>10</v>
      </c>
      <c r="AG4">
        <f t="shared" si="9"/>
        <v>-47</v>
      </c>
      <c r="AH4">
        <f t="shared" si="7"/>
        <v>48.052055106935853</v>
      </c>
    </row>
    <row r="5" spans="1:34" x14ac:dyDescent="0.3">
      <c r="A5">
        <v>4</v>
      </c>
      <c r="C5" s="30">
        <v>727</v>
      </c>
      <c r="D5" s="30">
        <v>313</v>
      </c>
      <c r="F5">
        <v>123.15</v>
      </c>
      <c r="G5">
        <v>-76.44</v>
      </c>
      <c r="H5">
        <v>837</v>
      </c>
      <c r="J5">
        <v>123</v>
      </c>
      <c r="K5">
        <v>-75</v>
      </c>
      <c r="L5">
        <v>837</v>
      </c>
      <c r="N5">
        <v>120.04</v>
      </c>
      <c r="O5">
        <v>-72.260000000000005</v>
      </c>
      <c r="P5">
        <v>816.97</v>
      </c>
      <c r="R5">
        <f t="shared" si="0"/>
        <v>828.89751483521775</v>
      </c>
      <c r="T5">
        <v>-95.64</v>
      </c>
      <c r="U5">
        <v>557.19000000000005</v>
      </c>
      <c r="V5">
        <v>50.55</v>
      </c>
      <c r="X5">
        <f t="shared" si="1"/>
        <v>-3.1099999999999994</v>
      </c>
      <c r="Y5" s="29">
        <f t="shared" si="2"/>
        <v>4.1799999999999926</v>
      </c>
      <c r="Z5" s="28">
        <f t="shared" si="3"/>
        <v>-20.029999999999973</v>
      </c>
      <c r="AB5">
        <f t="shared" si="4"/>
        <v>-2.9599999999999937</v>
      </c>
      <c r="AC5">
        <f t="shared" si="5"/>
        <v>2.7399999999999949</v>
      </c>
      <c r="AD5">
        <f t="shared" si="6"/>
        <v>-20.029999999999973</v>
      </c>
      <c r="AF5">
        <f t="shared" si="8"/>
        <v>87</v>
      </c>
      <c r="AG5">
        <f t="shared" si="9"/>
        <v>-47</v>
      </c>
      <c r="AH5">
        <f t="shared" si="7"/>
        <v>98.883770154661889</v>
      </c>
    </row>
    <row r="6" spans="1:34" x14ac:dyDescent="0.3">
      <c r="A6">
        <v>5</v>
      </c>
      <c r="C6" s="30">
        <v>804</v>
      </c>
      <c r="D6" s="30">
        <v>313</v>
      </c>
      <c r="F6">
        <v>225.94</v>
      </c>
      <c r="G6">
        <v>-75.89</v>
      </c>
      <c r="H6">
        <v>831</v>
      </c>
      <c r="J6">
        <v>225</v>
      </c>
      <c r="K6">
        <v>-73</v>
      </c>
      <c r="L6">
        <v>830</v>
      </c>
      <c r="N6">
        <v>219.88</v>
      </c>
      <c r="O6">
        <v>-70.37</v>
      </c>
      <c r="P6">
        <v>815.36</v>
      </c>
      <c r="R6">
        <f t="shared" si="0"/>
        <v>847.41435018531524</v>
      </c>
      <c r="T6">
        <v>-195.51</v>
      </c>
      <c r="U6">
        <v>557.51</v>
      </c>
      <c r="V6">
        <v>50.77</v>
      </c>
      <c r="X6">
        <f t="shared" si="1"/>
        <v>-6.0600000000000023</v>
      </c>
      <c r="Y6" s="29">
        <f t="shared" si="2"/>
        <v>5.519999999999996</v>
      </c>
      <c r="Z6" s="28">
        <f t="shared" si="3"/>
        <v>-15.639999999999986</v>
      </c>
      <c r="AB6">
        <f t="shared" si="4"/>
        <v>-5.1200000000000045</v>
      </c>
      <c r="AC6">
        <f t="shared" si="5"/>
        <v>2.6299999999999955</v>
      </c>
      <c r="AD6">
        <f t="shared" si="6"/>
        <v>-14.639999999999986</v>
      </c>
      <c r="AF6">
        <f t="shared" si="8"/>
        <v>164</v>
      </c>
      <c r="AG6">
        <f t="shared" si="9"/>
        <v>-47</v>
      </c>
      <c r="AH6">
        <f t="shared" si="7"/>
        <v>170.60187572239644</v>
      </c>
    </row>
    <row r="7" spans="1:34" x14ac:dyDescent="0.3">
      <c r="A7">
        <v>6</v>
      </c>
      <c r="C7" s="4">
        <v>489</v>
      </c>
      <c r="D7" s="4">
        <v>374</v>
      </c>
      <c r="F7">
        <v>-185.54</v>
      </c>
      <c r="G7">
        <v>6.16</v>
      </c>
      <c r="H7">
        <v>778</v>
      </c>
      <c r="J7">
        <v>-189</v>
      </c>
      <c r="K7">
        <v>8</v>
      </c>
      <c r="L7">
        <v>778</v>
      </c>
      <c r="N7">
        <v>-183.07</v>
      </c>
      <c r="O7">
        <v>4.8099999999999996</v>
      </c>
      <c r="P7">
        <v>763.92</v>
      </c>
      <c r="R7">
        <f t="shared" si="0"/>
        <v>785.5644641911955</v>
      </c>
      <c r="T7">
        <v>205.39</v>
      </c>
      <c r="U7">
        <v>657.24</v>
      </c>
      <c r="V7">
        <v>49.31</v>
      </c>
      <c r="X7">
        <f t="shared" si="1"/>
        <v>2.4699999999999989</v>
      </c>
      <c r="Y7" s="32">
        <f t="shared" si="2"/>
        <v>-1.3500000000000005</v>
      </c>
      <c r="Z7" s="28">
        <f t="shared" si="3"/>
        <v>-14.080000000000041</v>
      </c>
      <c r="AB7">
        <f t="shared" si="4"/>
        <v>5.9300000000000068</v>
      </c>
      <c r="AC7">
        <f t="shared" si="5"/>
        <v>-3.1900000000000004</v>
      </c>
      <c r="AD7">
        <f t="shared" si="6"/>
        <v>-14.080000000000041</v>
      </c>
      <c r="AF7">
        <f t="shared" si="8"/>
        <v>-151</v>
      </c>
      <c r="AG7">
        <f t="shared" si="9"/>
        <v>14</v>
      </c>
      <c r="AH7">
        <f t="shared" si="7"/>
        <v>151.64761785138597</v>
      </c>
    </row>
    <row r="8" spans="1:34" x14ac:dyDescent="0.3">
      <c r="A8">
        <v>7</v>
      </c>
      <c r="C8" s="4">
        <v>572</v>
      </c>
      <c r="D8" s="4">
        <v>374</v>
      </c>
      <c r="F8">
        <v>-81.12</v>
      </c>
      <c r="G8">
        <v>6.17</v>
      </c>
      <c r="H8">
        <v>780</v>
      </c>
      <c r="J8">
        <v>-84</v>
      </c>
      <c r="K8">
        <v>8</v>
      </c>
      <c r="L8">
        <v>780</v>
      </c>
      <c r="N8">
        <v>-80.400000000000006</v>
      </c>
      <c r="O8">
        <v>5.67</v>
      </c>
      <c r="P8">
        <v>763.03</v>
      </c>
      <c r="R8">
        <f t="shared" si="0"/>
        <v>767.27510698575384</v>
      </c>
      <c r="T8">
        <v>102.72</v>
      </c>
      <c r="U8">
        <v>656.25</v>
      </c>
      <c r="V8">
        <v>49.54</v>
      </c>
      <c r="X8">
        <f t="shared" si="1"/>
        <v>0.71999999999999886</v>
      </c>
      <c r="Y8" s="32">
        <f t="shared" si="2"/>
        <v>-0.5</v>
      </c>
      <c r="Z8" s="28">
        <f t="shared" si="3"/>
        <v>-16.970000000000027</v>
      </c>
      <c r="AB8">
        <f t="shared" si="4"/>
        <v>3.5999999999999943</v>
      </c>
      <c r="AC8">
        <f t="shared" si="5"/>
        <v>-2.33</v>
      </c>
      <c r="AD8">
        <f t="shared" si="6"/>
        <v>-16.970000000000027</v>
      </c>
      <c r="AF8">
        <f t="shared" si="8"/>
        <v>-68</v>
      </c>
      <c r="AG8">
        <f t="shared" si="9"/>
        <v>14</v>
      </c>
      <c r="AH8">
        <f t="shared" si="7"/>
        <v>69.426219830839131</v>
      </c>
    </row>
    <row r="9" spans="1:34" x14ac:dyDescent="0.3">
      <c r="A9">
        <v>8</v>
      </c>
      <c r="C9" s="4">
        <v>651</v>
      </c>
      <c r="D9" s="4">
        <v>375</v>
      </c>
      <c r="F9">
        <v>18.690000000000001</v>
      </c>
      <c r="G9">
        <v>7.43</v>
      </c>
      <c r="H9">
        <v>779</v>
      </c>
      <c r="J9">
        <v>17</v>
      </c>
      <c r="K9">
        <v>9</v>
      </c>
      <c r="L9">
        <v>779</v>
      </c>
      <c r="N9">
        <v>18.11</v>
      </c>
      <c r="O9">
        <v>7.85</v>
      </c>
      <c r="P9">
        <v>761.34</v>
      </c>
      <c r="R9">
        <f t="shared" si="0"/>
        <v>761.59581813452724</v>
      </c>
      <c r="T9">
        <v>4.17</v>
      </c>
      <c r="U9">
        <v>656.89</v>
      </c>
      <c r="V9">
        <v>49.65</v>
      </c>
      <c r="X9">
        <f t="shared" si="1"/>
        <v>-0.58000000000000185</v>
      </c>
      <c r="Y9" s="32">
        <f t="shared" si="2"/>
        <v>0.41999999999999993</v>
      </c>
      <c r="Z9" s="28">
        <f t="shared" si="3"/>
        <v>-17.659999999999968</v>
      </c>
      <c r="AB9">
        <f t="shared" si="4"/>
        <v>1.1099999999999994</v>
      </c>
      <c r="AC9">
        <f t="shared" si="5"/>
        <v>-1.1500000000000004</v>
      </c>
      <c r="AD9">
        <f t="shared" si="6"/>
        <v>-17.659999999999968</v>
      </c>
      <c r="AF9">
        <f t="shared" si="8"/>
        <v>11</v>
      </c>
      <c r="AG9">
        <f t="shared" si="9"/>
        <v>15</v>
      </c>
      <c r="AH9">
        <f t="shared" si="7"/>
        <v>18.601075237738275</v>
      </c>
    </row>
    <row r="10" spans="1:34" x14ac:dyDescent="0.3">
      <c r="A10">
        <v>9</v>
      </c>
      <c r="C10" s="4">
        <v>733</v>
      </c>
      <c r="D10" s="4">
        <v>375</v>
      </c>
      <c r="F10">
        <v>121.56</v>
      </c>
      <c r="G10">
        <v>7.39</v>
      </c>
      <c r="H10">
        <v>775</v>
      </c>
      <c r="J10">
        <v>121</v>
      </c>
      <c r="K10">
        <v>9</v>
      </c>
      <c r="L10">
        <v>775</v>
      </c>
      <c r="N10">
        <v>118.55</v>
      </c>
      <c r="O10">
        <v>8.94</v>
      </c>
      <c r="P10">
        <v>760.02499999999998</v>
      </c>
      <c r="R10">
        <f t="shared" si="0"/>
        <v>769.2672011239008</v>
      </c>
      <c r="T10">
        <v>-96.29</v>
      </c>
      <c r="U10">
        <v>656.38</v>
      </c>
      <c r="V10">
        <v>50.09</v>
      </c>
      <c r="X10">
        <f t="shared" si="1"/>
        <v>-3.0100000000000051</v>
      </c>
      <c r="Y10" s="32">
        <f t="shared" si="2"/>
        <v>1.5499999999999998</v>
      </c>
      <c r="Z10" s="28">
        <f t="shared" si="3"/>
        <v>-14.975000000000023</v>
      </c>
      <c r="AB10">
        <f t="shared" si="4"/>
        <v>-2.4500000000000028</v>
      </c>
      <c r="AC10">
        <f t="shared" si="5"/>
        <v>-6.0000000000000497E-2</v>
      </c>
      <c r="AD10">
        <f t="shared" si="6"/>
        <v>-14.975000000000023</v>
      </c>
      <c r="AF10">
        <f t="shared" si="8"/>
        <v>93</v>
      </c>
      <c r="AG10">
        <f t="shared" si="9"/>
        <v>15</v>
      </c>
      <c r="AH10">
        <f t="shared" si="7"/>
        <v>94.201910808645493</v>
      </c>
    </row>
    <row r="11" spans="1:34" x14ac:dyDescent="0.3">
      <c r="A11">
        <v>10</v>
      </c>
      <c r="C11" s="4">
        <v>816</v>
      </c>
      <c r="D11" s="4">
        <v>376</v>
      </c>
      <c r="F11">
        <v>226.36</v>
      </c>
      <c r="G11">
        <v>8.68</v>
      </c>
      <c r="H11">
        <v>777</v>
      </c>
      <c r="J11">
        <v>226</v>
      </c>
      <c r="K11">
        <v>10</v>
      </c>
      <c r="L11">
        <v>777</v>
      </c>
      <c r="N11">
        <v>217.59</v>
      </c>
      <c r="O11">
        <v>10.029999999999999</v>
      </c>
      <c r="P11">
        <v>758.75</v>
      </c>
      <c r="R11">
        <f t="shared" si="0"/>
        <v>789.39696699442663</v>
      </c>
      <c r="T11">
        <v>-195.34</v>
      </c>
      <c r="U11">
        <v>655.88</v>
      </c>
      <c r="V11">
        <v>50.49</v>
      </c>
      <c r="X11">
        <f t="shared" si="1"/>
        <v>-8.7700000000000102</v>
      </c>
      <c r="Y11" s="32">
        <f t="shared" si="2"/>
        <v>1.3499999999999996</v>
      </c>
      <c r="Z11" s="28">
        <f t="shared" si="3"/>
        <v>-18.25</v>
      </c>
      <c r="AB11">
        <f t="shared" si="4"/>
        <v>-8.4099999999999966</v>
      </c>
      <c r="AC11">
        <f t="shared" si="5"/>
        <v>2.9999999999999361E-2</v>
      </c>
      <c r="AD11">
        <f t="shared" si="6"/>
        <v>-18.25</v>
      </c>
      <c r="AF11">
        <f t="shared" si="8"/>
        <v>176</v>
      </c>
      <c r="AG11">
        <f t="shared" si="9"/>
        <v>16</v>
      </c>
      <c r="AH11">
        <f t="shared" si="7"/>
        <v>176.72577627499618</v>
      </c>
    </row>
    <row r="12" spans="1:34" x14ac:dyDescent="0.3">
      <c r="A12">
        <v>11</v>
      </c>
      <c r="C12" s="31">
        <v>476</v>
      </c>
      <c r="D12" s="31">
        <v>446</v>
      </c>
      <c r="F12">
        <v>-188.17</v>
      </c>
      <c r="G12">
        <v>90.67</v>
      </c>
      <c r="H12">
        <v>725</v>
      </c>
      <c r="J12">
        <v>-191</v>
      </c>
      <c r="K12">
        <v>92</v>
      </c>
      <c r="L12">
        <v>725</v>
      </c>
      <c r="N12">
        <v>-185.99</v>
      </c>
      <c r="O12">
        <v>89.31</v>
      </c>
      <c r="P12">
        <v>704.78</v>
      </c>
      <c r="R12">
        <f t="shared" si="0"/>
        <v>734.35917955725176</v>
      </c>
      <c r="T12">
        <v>206.1</v>
      </c>
      <c r="U12">
        <v>760.42</v>
      </c>
      <c r="V12">
        <v>48.73</v>
      </c>
      <c r="X12">
        <f t="shared" si="1"/>
        <v>2.1799999999999784</v>
      </c>
      <c r="Y12" s="20">
        <f t="shared" si="2"/>
        <v>-1.3599999999999994</v>
      </c>
      <c r="Z12" s="28">
        <f t="shared" si="3"/>
        <v>-20.220000000000027</v>
      </c>
      <c r="AB12">
        <f t="shared" si="4"/>
        <v>5.0099999999999909</v>
      </c>
      <c r="AC12">
        <f t="shared" si="5"/>
        <v>-2.6899999999999977</v>
      </c>
      <c r="AD12">
        <f t="shared" si="6"/>
        <v>-20.220000000000027</v>
      </c>
      <c r="AF12">
        <f t="shared" si="8"/>
        <v>-164</v>
      </c>
      <c r="AG12">
        <f t="shared" si="9"/>
        <v>86</v>
      </c>
      <c r="AH12">
        <f t="shared" si="7"/>
        <v>185.18099254513137</v>
      </c>
    </row>
    <row r="13" spans="1:34" x14ac:dyDescent="0.3">
      <c r="A13">
        <v>12</v>
      </c>
      <c r="C13" s="31">
        <v>565</v>
      </c>
      <c r="D13" s="31">
        <v>447</v>
      </c>
      <c r="F13">
        <v>-83.27</v>
      </c>
      <c r="G13">
        <v>91.47</v>
      </c>
      <c r="H13">
        <v>722</v>
      </c>
      <c r="J13">
        <v>-86</v>
      </c>
      <c r="K13">
        <v>94</v>
      </c>
      <c r="L13">
        <v>722</v>
      </c>
      <c r="N13">
        <v>-80.81</v>
      </c>
      <c r="O13">
        <v>88.16</v>
      </c>
      <c r="P13">
        <v>705.23</v>
      </c>
      <c r="R13">
        <f t="shared" si="0"/>
        <v>715.29839549659278</v>
      </c>
      <c r="T13">
        <v>100.97</v>
      </c>
      <c r="U13">
        <v>756.96</v>
      </c>
      <c r="V13">
        <v>49.02</v>
      </c>
      <c r="X13">
        <f t="shared" si="1"/>
        <v>2.4599999999999937</v>
      </c>
      <c r="Y13" s="20">
        <f t="shared" si="2"/>
        <v>-3.3100000000000023</v>
      </c>
      <c r="Z13" s="28">
        <f t="shared" si="3"/>
        <v>-16.769999999999982</v>
      </c>
      <c r="AB13">
        <f t="shared" si="4"/>
        <v>5.1899999999999977</v>
      </c>
      <c r="AC13">
        <f t="shared" si="5"/>
        <v>-5.8400000000000034</v>
      </c>
      <c r="AD13">
        <f t="shared" si="6"/>
        <v>-16.769999999999982</v>
      </c>
      <c r="AF13">
        <f t="shared" si="8"/>
        <v>-75</v>
      </c>
      <c r="AG13">
        <f t="shared" si="9"/>
        <v>87</v>
      </c>
      <c r="AH13">
        <f t="shared" si="7"/>
        <v>114.86513831445988</v>
      </c>
    </row>
    <row r="14" spans="1:34" x14ac:dyDescent="0.3">
      <c r="A14">
        <v>13</v>
      </c>
      <c r="C14" s="31">
        <v>651</v>
      </c>
      <c r="D14" s="31">
        <v>448</v>
      </c>
      <c r="F14">
        <v>17.3</v>
      </c>
      <c r="G14">
        <v>92.51</v>
      </c>
      <c r="H14">
        <v>721</v>
      </c>
      <c r="J14">
        <v>16</v>
      </c>
      <c r="K14">
        <v>95</v>
      </c>
      <c r="L14">
        <v>721</v>
      </c>
      <c r="N14">
        <v>15.87</v>
      </c>
      <c r="O14">
        <v>89.41</v>
      </c>
      <c r="P14">
        <v>704.29</v>
      </c>
      <c r="R14">
        <f t="shared" si="0"/>
        <v>710.11999626823626</v>
      </c>
      <c r="T14">
        <v>4.2699999999999996</v>
      </c>
      <c r="U14">
        <v>756.45</v>
      </c>
      <c r="V14">
        <v>49.06</v>
      </c>
      <c r="X14">
        <f t="shared" si="1"/>
        <v>-1.4300000000000015</v>
      </c>
      <c r="Y14" s="20">
        <f t="shared" si="2"/>
        <v>-3.1000000000000085</v>
      </c>
      <c r="Z14" s="28">
        <f t="shared" si="3"/>
        <v>-16.710000000000036</v>
      </c>
      <c r="AB14">
        <f t="shared" si="4"/>
        <v>-0.13000000000000078</v>
      </c>
      <c r="AC14">
        <f t="shared" si="5"/>
        <v>-5.5900000000000034</v>
      </c>
      <c r="AD14">
        <f t="shared" si="6"/>
        <v>-16.710000000000036</v>
      </c>
      <c r="AF14">
        <f t="shared" si="8"/>
        <v>11</v>
      </c>
      <c r="AG14">
        <f t="shared" si="9"/>
        <v>88</v>
      </c>
      <c r="AH14">
        <f t="shared" si="7"/>
        <v>88.68483523128404</v>
      </c>
    </row>
    <row r="15" spans="1:34" x14ac:dyDescent="0.3">
      <c r="A15">
        <v>14</v>
      </c>
      <c r="C15" s="31">
        <v>738</v>
      </c>
      <c r="D15" s="31">
        <v>447</v>
      </c>
      <c r="F15">
        <v>118.6</v>
      </c>
      <c r="G15">
        <v>91.09</v>
      </c>
      <c r="H15">
        <v>719</v>
      </c>
      <c r="J15">
        <v>118</v>
      </c>
      <c r="K15">
        <v>93</v>
      </c>
      <c r="L15">
        <v>719</v>
      </c>
      <c r="N15">
        <v>116.43</v>
      </c>
      <c r="O15">
        <v>91.004999999999995</v>
      </c>
      <c r="P15">
        <v>702.41</v>
      </c>
      <c r="R15">
        <f t="shared" si="0"/>
        <v>717.78664171534979</v>
      </c>
      <c r="T15">
        <v>-96.32</v>
      </c>
      <c r="U15">
        <v>756.67</v>
      </c>
      <c r="V15">
        <v>49.67</v>
      </c>
      <c r="X15">
        <f t="shared" si="1"/>
        <v>-2.1699999999999875</v>
      </c>
      <c r="Y15" s="20">
        <f t="shared" si="2"/>
        <v>-8.5000000000007958E-2</v>
      </c>
      <c r="Z15" s="28">
        <f t="shared" si="3"/>
        <v>-16.590000000000032</v>
      </c>
      <c r="AB15">
        <f t="shared" si="4"/>
        <v>-1.5699999999999932</v>
      </c>
      <c r="AC15">
        <f t="shared" si="5"/>
        <v>-1.9950000000000045</v>
      </c>
      <c r="AD15">
        <f t="shared" si="6"/>
        <v>-16.590000000000032</v>
      </c>
      <c r="AF15">
        <f t="shared" si="8"/>
        <v>98</v>
      </c>
      <c r="AG15">
        <f t="shared" si="9"/>
        <v>87</v>
      </c>
      <c r="AH15">
        <f t="shared" si="7"/>
        <v>131.04579352272242</v>
      </c>
    </row>
    <row r="16" spans="1:34" x14ac:dyDescent="0.3">
      <c r="A16">
        <v>15</v>
      </c>
      <c r="C16" s="31">
        <v>828</v>
      </c>
      <c r="D16" s="31">
        <v>449</v>
      </c>
      <c r="F16">
        <v>222.82</v>
      </c>
      <c r="G16">
        <v>93.17</v>
      </c>
      <c r="H16">
        <v>717</v>
      </c>
      <c r="J16">
        <v>222</v>
      </c>
      <c r="K16">
        <v>95</v>
      </c>
      <c r="L16">
        <v>717</v>
      </c>
      <c r="N16">
        <v>214.83</v>
      </c>
      <c r="O16">
        <v>92.64</v>
      </c>
      <c r="P16">
        <v>701.10500000000002</v>
      </c>
      <c r="R16">
        <f t="shared" si="0"/>
        <v>739.10913911613898</v>
      </c>
      <c r="T16">
        <v>-194.71</v>
      </c>
      <c r="U16">
        <v>756.65</v>
      </c>
      <c r="V16">
        <v>49.78</v>
      </c>
      <c r="X16">
        <f t="shared" si="1"/>
        <v>-7.9899999999999807</v>
      </c>
      <c r="Y16" s="20">
        <f t="shared" si="2"/>
        <v>-0.53000000000000114</v>
      </c>
      <c r="Z16" s="28">
        <f t="shared" si="3"/>
        <v>-15.894999999999982</v>
      </c>
      <c r="AB16">
        <f t="shared" si="4"/>
        <v>-7.1699999999999875</v>
      </c>
      <c r="AC16">
        <f t="shared" si="5"/>
        <v>-2.3599999999999994</v>
      </c>
      <c r="AD16">
        <f t="shared" si="6"/>
        <v>-15.894999999999982</v>
      </c>
      <c r="AF16">
        <f t="shared" si="8"/>
        <v>188</v>
      </c>
      <c r="AG16">
        <f t="shared" si="9"/>
        <v>89</v>
      </c>
      <c r="AH16">
        <f t="shared" si="7"/>
        <v>208.00240383226344</v>
      </c>
    </row>
  </sheetData>
  <sortState ref="A37:U52">
    <sortCondition ref="T37"/>
  </sortState>
  <pageMargins left="0.7" right="0.7" top="0.78740157499999996" bottom="0.78740157499999996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zoomScale="90" zoomScaleNormal="90" workbookViewId="0">
      <selection activeCell="Z2" sqref="Z2:Z16"/>
    </sheetView>
  </sheetViews>
  <sheetFormatPr baseColWidth="10" defaultColWidth="8.88671875" defaultRowHeight="14.4" x14ac:dyDescent="0.3"/>
  <sheetData>
    <row r="1" spans="1:34" x14ac:dyDescent="0.3">
      <c r="A1" s="2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500</v>
      </c>
      <c r="D2">
        <v>312</v>
      </c>
      <c r="F2">
        <v>-188.66</v>
      </c>
      <c r="G2">
        <v>-79.47</v>
      </c>
      <c r="H2">
        <v>855</v>
      </c>
      <c r="J2">
        <v>-192</v>
      </c>
      <c r="K2">
        <v>-78</v>
      </c>
      <c r="L2">
        <v>855</v>
      </c>
      <c r="N2">
        <v>-180.89</v>
      </c>
      <c r="O2">
        <v>-76.900000000000006</v>
      </c>
      <c r="P2">
        <v>821.22</v>
      </c>
      <c r="R2">
        <f t="shared" ref="R2:R16" si="0" xml:space="preserve"> (N2^2+O2^2+P2^2)^0.5</f>
        <v>844.41523582891375</v>
      </c>
      <c r="T2" s="4">
        <v>205.36</v>
      </c>
      <c r="U2" s="4">
        <v>557.41</v>
      </c>
      <c r="V2" s="4">
        <v>49.79</v>
      </c>
      <c r="X2">
        <f t="shared" ref="X2:Z16" si="1">N2-F2</f>
        <v>7.7700000000000102</v>
      </c>
      <c r="Y2" s="28">
        <f t="shared" si="1"/>
        <v>2.5699999999999932</v>
      </c>
      <c r="Z2" s="9">
        <f t="shared" si="1"/>
        <v>-33.779999999999973</v>
      </c>
      <c r="AB2">
        <f t="shared" ref="AB2:AD16" si="2">N2-J2</f>
        <v>11.110000000000014</v>
      </c>
      <c r="AC2" s="33">
        <f t="shared" si="2"/>
        <v>1.0999999999999943</v>
      </c>
      <c r="AD2">
        <f t="shared" si="2"/>
        <v>-33.779999999999973</v>
      </c>
      <c r="AF2" s="10">
        <f>C2-640</f>
        <v>-140</v>
      </c>
      <c r="AG2" s="10">
        <f>D2-360</f>
        <v>-48</v>
      </c>
      <c r="AH2">
        <f t="shared" ref="AH2:AH16" si="3">((C2-640)^2+(D2-360)^2)^0.5</f>
        <v>148</v>
      </c>
    </row>
    <row r="3" spans="1:34" x14ac:dyDescent="0.3">
      <c r="A3">
        <v>2</v>
      </c>
      <c r="C3">
        <v>576</v>
      </c>
      <c r="D3">
        <v>312</v>
      </c>
      <c r="F3">
        <v>-83.38</v>
      </c>
      <c r="G3">
        <v>-79.47</v>
      </c>
      <c r="H3">
        <v>855</v>
      </c>
      <c r="J3">
        <v>-86</v>
      </c>
      <c r="K3">
        <v>-78</v>
      </c>
      <c r="L3">
        <v>855</v>
      </c>
      <c r="N3">
        <v>-80.08</v>
      </c>
      <c r="O3">
        <v>-75.37</v>
      </c>
      <c r="P3">
        <v>819.87</v>
      </c>
      <c r="R3">
        <f t="shared" si="0"/>
        <v>827.21234287213099</v>
      </c>
      <c r="T3" s="4">
        <v>104.53</v>
      </c>
      <c r="U3" s="4">
        <v>557.27</v>
      </c>
      <c r="V3" s="4">
        <v>50</v>
      </c>
      <c r="X3">
        <f t="shared" si="1"/>
        <v>3.2999999999999972</v>
      </c>
      <c r="Y3" s="28">
        <f t="shared" si="1"/>
        <v>4.0999999999999943</v>
      </c>
      <c r="Z3" s="9">
        <f t="shared" si="1"/>
        <v>-35.129999999999995</v>
      </c>
      <c r="AB3">
        <f t="shared" si="2"/>
        <v>5.9200000000000017</v>
      </c>
      <c r="AC3" s="33">
        <f t="shared" si="2"/>
        <v>2.6299999999999955</v>
      </c>
      <c r="AD3">
        <f t="shared" si="2"/>
        <v>-35.129999999999995</v>
      </c>
      <c r="AF3" s="10">
        <f t="shared" ref="AF3:AF16" si="4">C3-640</f>
        <v>-64</v>
      </c>
      <c r="AG3" s="10">
        <f t="shared" ref="AG3:AG16" si="5">D3-360</f>
        <v>-48</v>
      </c>
      <c r="AH3">
        <f t="shared" si="3"/>
        <v>80</v>
      </c>
    </row>
    <row r="4" spans="1:34" x14ac:dyDescent="0.3">
      <c r="A4">
        <v>3</v>
      </c>
      <c r="C4">
        <v>652</v>
      </c>
      <c r="D4">
        <v>313</v>
      </c>
      <c r="F4">
        <v>21.95</v>
      </c>
      <c r="G4">
        <v>-78.260000000000005</v>
      </c>
      <c r="H4">
        <v>857</v>
      </c>
      <c r="J4">
        <v>20</v>
      </c>
      <c r="K4">
        <v>-77</v>
      </c>
      <c r="L4">
        <v>857</v>
      </c>
      <c r="N4">
        <v>20.149999999999999</v>
      </c>
      <c r="O4">
        <v>-74.02</v>
      </c>
      <c r="P4">
        <v>818.29</v>
      </c>
      <c r="R4">
        <f t="shared" si="0"/>
        <v>821.87803657233712</v>
      </c>
      <c r="T4" s="4">
        <v>4.2699999999999996</v>
      </c>
      <c r="U4" s="4">
        <v>557.14</v>
      </c>
      <c r="V4" s="4">
        <v>50.5</v>
      </c>
      <c r="X4">
        <f t="shared" si="1"/>
        <v>-1.8000000000000007</v>
      </c>
      <c r="Y4" s="28">
        <f t="shared" si="1"/>
        <v>4.2400000000000091</v>
      </c>
      <c r="Z4" s="9">
        <f t="shared" si="1"/>
        <v>-38.710000000000036</v>
      </c>
      <c r="AB4">
        <f t="shared" si="2"/>
        <v>0.14999999999999858</v>
      </c>
      <c r="AC4" s="33">
        <f t="shared" si="2"/>
        <v>2.980000000000004</v>
      </c>
      <c r="AD4">
        <f t="shared" si="2"/>
        <v>-38.710000000000036</v>
      </c>
      <c r="AF4" s="10">
        <f t="shared" si="4"/>
        <v>12</v>
      </c>
      <c r="AG4" s="10">
        <f t="shared" si="5"/>
        <v>-47</v>
      </c>
      <c r="AH4">
        <f t="shared" si="3"/>
        <v>48.507731342539614</v>
      </c>
    </row>
    <row r="5" spans="1:34" x14ac:dyDescent="0.3">
      <c r="A5">
        <v>4</v>
      </c>
      <c r="C5">
        <v>727</v>
      </c>
      <c r="D5">
        <v>314</v>
      </c>
      <c r="F5">
        <v>124.76</v>
      </c>
      <c r="G5">
        <v>-76.06</v>
      </c>
      <c r="H5">
        <v>848</v>
      </c>
      <c r="J5">
        <v>124</v>
      </c>
      <c r="K5">
        <v>-75</v>
      </c>
      <c r="L5">
        <v>848</v>
      </c>
      <c r="N5">
        <v>119.06</v>
      </c>
      <c r="O5">
        <v>-71.64</v>
      </c>
      <c r="P5">
        <v>815.95</v>
      </c>
      <c r="R5">
        <f t="shared" si="0"/>
        <v>827.69678971227142</v>
      </c>
      <c r="T5" s="4">
        <v>-94.69</v>
      </c>
      <c r="U5" s="4">
        <v>558.29999999999995</v>
      </c>
      <c r="V5" s="4">
        <v>51.03</v>
      </c>
      <c r="X5">
        <f t="shared" si="1"/>
        <v>-5.7000000000000028</v>
      </c>
      <c r="Y5" s="28">
        <f t="shared" si="1"/>
        <v>4.4200000000000017</v>
      </c>
      <c r="Z5" s="9">
        <f t="shared" si="1"/>
        <v>-32.049999999999955</v>
      </c>
      <c r="AB5">
        <f t="shared" si="2"/>
        <v>-4.9399999999999977</v>
      </c>
      <c r="AC5" s="33">
        <f t="shared" si="2"/>
        <v>3.3599999999999994</v>
      </c>
      <c r="AD5">
        <f t="shared" si="2"/>
        <v>-32.049999999999955</v>
      </c>
      <c r="AF5" s="10">
        <f t="shared" si="4"/>
        <v>87</v>
      </c>
      <c r="AG5" s="10">
        <f t="shared" si="5"/>
        <v>-46</v>
      </c>
      <c r="AH5">
        <f t="shared" si="3"/>
        <v>98.412397592986224</v>
      </c>
    </row>
    <row r="6" spans="1:34" x14ac:dyDescent="0.3">
      <c r="A6">
        <v>5</v>
      </c>
      <c r="C6">
        <v>804</v>
      </c>
      <c r="D6">
        <v>314</v>
      </c>
      <c r="F6">
        <v>230.56</v>
      </c>
      <c r="G6">
        <v>-76.06</v>
      </c>
      <c r="H6">
        <v>848</v>
      </c>
      <c r="J6">
        <v>230</v>
      </c>
      <c r="K6">
        <v>-74</v>
      </c>
      <c r="L6">
        <v>848</v>
      </c>
      <c r="N6">
        <v>219.47</v>
      </c>
      <c r="O6">
        <v>-70.08</v>
      </c>
      <c r="P6">
        <v>815.05</v>
      </c>
      <c r="R6">
        <f t="shared" si="0"/>
        <v>846.98570814388597</v>
      </c>
      <c r="T6" s="4">
        <v>-195.11</v>
      </c>
      <c r="U6" s="4">
        <v>557.94000000000005</v>
      </c>
      <c r="V6" s="4">
        <v>50.85</v>
      </c>
      <c r="X6">
        <f t="shared" si="1"/>
        <v>-11.090000000000003</v>
      </c>
      <c r="Y6" s="28">
        <f t="shared" si="1"/>
        <v>5.980000000000004</v>
      </c>
      <c r="Z6" s="9">
        <f t="shared" si="1"/>
        <v>-32.950000000000045</v>
      </c>
      <c r="AB6">
        <f t="shared" si="2"/>
        <v>-10.530000000000001</v>
      </c>
      <c r="AC6" s="33">
        <f t="shared" si="2"/>
        <v>3.9200000000000017</v>
      </c>
      <c r="AD6">
        <f t="shared" si="2"/>
        <v>-32.950000000000045</v>
      </c>
      <c r="AF6" s="10">
        <f t="shared" si="4"/>
        <v>164</v>
      </c>
      <c r="AG6" s="10">
        <f t="shared" si="5"/>
        <v>-46</v>
      </c>
      <c r="AH6">
        <f t="shared" si="3"/>
        <v>170.32909322837364</v>
      </c>
    </row>
    <row r="7" spans="1:34" x14ac:dyDescent="0.3">
      <c r="A7">
        <v>6</v>
      </c>
      <c r="C7" s="30">
        <v>490</v>
      </c>
      <c r="D7" s="30">
        <v>374</v>
      </c>
      <c r="F7">
        <v>-189.01</v>
      </c>
      <c r="G7">
        <v>6.32</v>
      </c>
      <c r="H7">
        <v>798</v>
      </c>
      <c r="J7">
        <v>-192</v>
      </c>
      <c r="K7">
        <v>8</v>
      </c>
      <c r="L7">
        <v>798</v>
      </c>
      <c r="N7">
        <v>-181.34</v>
      </c>
      <c r="O7">
        <v>3.54</v>
      </c>
      <c r="P7">
        <v>764.61</v>
      </c>
      <c r="R7">
        <f t="shared" si="0"/>
        <v>785.82770331670031</v>
      </c>
      <c r="T7" s="3">
        <v>203.69</v>
      </c>
      <c r="U7" s="3">
        <v>655.77</v>
      </c>
      <c r="V7" s="3">
        <v>49.48</v>
      </c>
      <c r="X7">
        <f t="shared" si="1"/>
        <v>7.6699999999999875</v>
      </c>
      <c r="Y7" s="28">
        <f t="shared" si="1"/>
        <v>-2.7800000000000002</v>
      </c>
      <c r="Z7" s="9">
        <f t="shared" si="1"/>
        <v>-33.389999999999986</v>
      </c>
      <c r="AB7">
        <f t="shared" si="2"/>
        <v>10.659999999999997</v>
      </c>
      <c r="AC7" s="33">
        <f t="shared" si="2"/>
        <v>-4.46</v>
      </c>
      <c r="AD7">
        <f t="shared" si="2"/>
        <v>-33.389999999999986</v>
      </c>
      <c r="AF7" s="10">
        <f t="shared" si="4"/>
        <v>-150</v>
      </c>
      <c r="AG7" s="10">
        <f t="shared" si="5"/>
        <v>14</v>
      </c>
      <c r="AH7">
        <f t="shared" si="3"/>
        <v>150.65191668213185</v>
      </c>
    </row>
    <row r="8" spans="1:34" x14ac:dyDescent="0.3">
      <c r="A8">
        <v>7</v>
      </c>
      <c r="C8" s="30">
        <v>572</v>
      </c>
      <c r="D8" s="30">
        <v>375</v>
      </c>
      <c r="F8">
        <v>-83.09</v>
      </c>
      <c r="G8">
        <v>7.62</v>
      </c>
      <c r="H8">
        <v>799</v>
      </c>
      <c r="J8">
        <v>-86</v>
      </c>
      <c r="K8">
        <v>9</v>
      </c>
      <c r="L8">
        <v>799</v>
      </c>
      <c r="N8">
        <v>-80.75</v>
      </c>
      <c r="O8">
        <v>5.46</v>
      </c>
      <c r="P8">
        <v>763.22</v>
      </c>
      <c r="R8">
        <f t="shared" si="0"/>
        <v>767.49927850128961</v>
      </c>
      <c r="T8" s="3">
        <v>103.08</v>
      </c>
      <c r="U8" s="3">
        <v>655.98</v>
      </c>
      <c r="V8" s="3">
        <v>49.5</v>
      </c>
      <c r="X8">
        <f t="shared" si="1"/>
        <v>2.3400000000000034</v>
      </c>
      <c r="Y8" s="28">
        <f t="shared" si="1"/>
        <v>-2.16</v>
      </c>
      <c r="Z8" s="9">
        <f t="shared" si="1"/>
        <v>-35.779999999999973</v>
      </c>
      <c r="AB8">
        <f t="shared" si="2"/>
        <v>5.25</v>
      </c>
      <c r="AC8" s="33">
        <f t="shared" si="2"/>
        <v>-3.54</v>
      </c>
      <c r="AD8">
        <f t="shared" si="2"/>
        <v>-35.779999999999973</v>
      </c>
      <c r="AF8" s="10">
        <f t="shared" si="4"/>
        <v>-68</v>
      </c>
      <c r="AG8" s="10">
        <f t="shared" si="5"/>
        <v>15</v>
      </c>
      <c r="AH8">
        <f t="shared" si="3"/>
        <v>69.634761434214738</v>
      </c>
    </row>
    <row r="9" spans="1:34" x14ac:dyDescent="0.3">
      <c r="A9">
        <v>8</v>
      </c>
      <c r="C9" s="30">
        <v>652</v>
      </c>
      <c r="D9" s="30">
        <v>375</v>
      </c>
      <c r="F9">
        <v>20.56</v>
      </c>
      <c r="G9">
        <v>7.66</v>
      </c>
      <c r="H9">
        <v>803</v>
      </c>
      <c r="J9">
        <v>19</v>
      </c>
      <c r="K9">
        <v>9</v>
      </c>
      <c r="L9">
        <v>803</v>
      </c>
      <c r="N9">
        <v>18.18</v>
      </c>
      <c r="O9">
        <v>7.01</v>
      </c>
      <c r="P9">
        <v>761.69</v>
      </c>
      <c r="R9">
        <f t="shared" si="0"/>
        <v>761.93917644389444</v>
      </c>
      <c r="T9" s="3">
        <v>4.1100000000000003</v>
      </c>
      <c r="U9" s="3">
        <v>656</v>
      </c>
      <c r="V9" s="3">
        <v>49.85</v>
      </c>
      <c r="X9">
        <f t="shared" si="1"/>
        <v>-2.379999999999999</v>
      </c>
      <c r="Y9" s="28">
        <f t="shared" si="1"/>
        <v>-0.65000000000000036</v>
      </c>
      <c r="Z9" s="9">
        <f t="shared" si="1"/>
        <v>-41.309999999999945</v>
      </c>
      <c r="AB9">
        <f t="shared" si="2"/>
        <v>-0.82000000000000028</v>
      </c>
      <c r="AC9" s="33">
        <f t="shared" si="2"/>
        <v>-1.9900000000000002</v>
      </c>
      <c r="AD9">
        <f t="shared" si="2"/>
        <v>-41.309999999999945</v>
      </c>
      <c r="AF9" s="10">
        <f t="shared" si="4"/>
        <v>12</v>
      </c>
      <c r="AG9" s="10">
        <f t="shared" si="5"/>
        <v>15</v>
      </c>
      <c r="AH9">
        <f t="shared" si="3"/>
        <v>19.209372712298546</v>
      </c>
    </row>
    <row r="10" spans="1:34" x14ac:dyDescent="0.3">
      <c r="A10">
        <v>9</v>
      </c>
      <c r="C10" s="30">
        <v>734</v>
      </c>
      <c r="D10" s="30">
        <v>376</v>
      </c>
      <c r="F10">
        <v>126.46</v>
      </c>
      <c r="G10">
        <v>8.91</v>
      </c>
      <c r="H10">
        <v>798</v>
      </c>
      <c r="J10">
        <v>126</v>
      </c>
      <c r="K10">
        <v>11</v>
      </c>
      <c r="L10">
        <v>798</v>
      </c>
      <c r="N10">
        <v>117.83</v>
      </c>
      <c r="O10">
        <v>8.92</v>
      </c>
      <c r="P10">
        <v>759.9</v>
      </c>
      <c r="R10">
        <f t="shared" si="0"/>
        <v>769.03282459203263</v>
      </c>
      <c r="T10" s="3">
        <v>-95.57</v>
      </c>
      <c r="U10" s="3">
        <v>656.45</v>
      </c>
      <c r="V10" s="3">
        <v>50.2</v>
      </c>
      <c r="X10">
        <f t="shared" si="1"/>
        <v>-8.6299999999999955</v>
      </c>
      <c r="Y10" s="28">
        <f t="shared" si="1"/>
        <v>9.9999999999997868E-3</v>
      </c>
      <c r="Z10" s="9">
        <f t="shared" si="1"/>
        <v>-38.100000000000023</v>
      </c>
      <c r="AB10">
        <f t="shared" si="2"/>
        <v>-8.1700000000000017</v>
      </c>
      <c r="AC10" s="33">
        <f t="shared" si="2"/>
        <v>-2.08</v>
      </c>
      <c r="AD10">
        <f t="shared" si="2"/>
        <v>-38.100000000000023</v>
      </c>
      <c r="AF10" s="10">
        <f t="shared" si="4"/>
        <v>94</v>
      </c>
      <c r="AG10" s="10">
        <f t="shared" si="5"/>
        <v>16</v>
      </c>
      <c r="AH10">
        <f t="shared" si="3"/>
        <v>95.351979528481735</v>
      </c>
    </row>
    <row r="11" spans="1:34" x14ac:dyDescent="0.3">
      <c r="A11">
        <v>10</v>
      </c>
      <c r="C11" s="30">
        <v>816</v>
      </c>
      <c r="D11" s="30">
        <v>376</v>
      </c>
      <c r="F11">
        <v>231.32</v>
      </c>
      <c r="G11">
        <v>8.8699999999999992</v>
      </c>
      <c r="H11">
        <v>794</v>
      </c>
      <c r="J11">
        <v>231</v>
      </c>
      <c r="K11">
        <v>11</v>
      </c>
      <c r="L11">
        <v>794</v>
      </c>
      <c r="N11">
        <v>217.34</v>
      </c>
      <c r="O11">
        <v>10.35</v>
      </c>
      <c r="P11">
        <v>759.05</v>
      </c>
      <c r="R11">
        <f t="shared" si="0"/>
        <v>789.62060548088539</v>
      </c>
      <c r="T11" s="3">
        <v>-195.09</v>
      </c>
      <c r="U11" s="3">
        <v>655.97</v>
      </c>
      <c r="V11" s="3">
        <v>50.06</v>
      </c>
      <c r="X11">
        <f t="shared" si="1"/>
        <v>-13.97999999999999</v>
      </c>
      <c r="Y11" s="28">
        <f t="shared" si="1"/>
        <v>1.4800000000000004</v>
      </c>
      <c r="Z11" s="9">
        <f t="shared" si="1"/>
        <v>-34.950000000000045</v>
      </c>
      <c r="AB11">
        <f t="shared" si="2"/>
        <v>-13.659999999999997</v>
      </c>
      <c r="AC11" s="33">
        <f t="shared" si="2"/>
        <v>-0.65000000000000036</v>
      </c>
      <c r="AD11">
        <f t="shared" si="2"/>
        <v>-34.950000000000045</v>
      </c>
      <c r="AF11" s="10">
        <f t="shared" si="4"/>
        <v>176</v>
      </c>
      <c r="AG11" s="10">
        <f t="shared" si="5"/>
        <v>16</v>
      </c>
      <c r="AH11">
        <f t="shared" si="3"/>
        <v>176.72577627499618</v>
      </c>
    </row>
    <row r="12" spans="1:34" x14ac:dyDescent="0.3">
      <c r="A12">
        <v>11</v>
      </c>
      <c r="C12">
        <v>476</v>
      </c>
      <c r="D12">
        <v>445</v>
      </c>
      <c r="F12">
        <v>-192.84</v>
      </c>
      <c r="G12">
        <v>91.71</v>
      </c>
      <c r="H12">
        <v>743</v>
      </c>
      <c r="J12">
        <v>-195</v>
      </c>
      <c r="K12">
        <v>93</v>
      </c>
      <c r="L12">
        <v>743</v>
      </c>
      <c r="N12">
        <v>-185.27</v>
      </c>
      <c r="O12">
        <v>85.76</v>
      </c>
      <c r="P12">
        <v>707.31</v>
      </c>
      <c r="R12">
        <f t="shared" si="0"/>
        <v>736.18420697540091</v>
      </c>
      <c r="T12" s="5">
        <v>205.47</v>
      </c>
      <c r="U12" s="5">
        <v>756.04</v>
      </c>
      <c r="V12" s="5">
        <v>48.72</v>
      </c>
      <c r="X12">
        <f t="shared" si="1"/>
        <v>7.5699999999999932</v>
      </c>
      <c r="Y12" s="28">
        <f t="shared" si="1"/>
        <v>-5.9499999999999886</v>
      </c>
      <c r="Z12" s="9">
        <f t="shared" si="1"/>
        <v>-35.690000000000055</v>
      </c>
      <c r="AB12">
        <f t="shared" si="2"/>
        <v>9.7299999999999898</v>
      </c>
      <c r="AC12" s="33">
        <f t="shared" si="2"/>
        <v>-7.2399999999999949</v>
      </c>
      <c r="AD12">
        <f t="shared" si="2"/>
        <v>-35.690000000000055</v>
      </c>
      <c r="AF12" s="10">
        <f t="shared" si="4"/>
        <v>-164</v>
      </c>
      <c r="AG12" s="10">
        <f t="shared" si="5"/>
        <v>85</v>
      </c>
      <c r="AH12">
        <f t="shared" si="3"/>
        <v>184.71870506258969</v>
      </c>
    </row>
    <row r="13" spans="1:34" x14ac:dyDescent="0.3">
      <c r="A13">
        <v>12</v>
      </c>
      <c r="C13">
        <v>566</v>
      </c>
      <c r="D13">
        <v>448</v>
      </c>
      <c r="F13">
        <v>-84.38</v>
      </c>
      <c r="G13">
        <v>95.21</v>
      </c>
      <c r="H13">
        <v>742</v>
      </c>
      <c r="J13">
        <v>-87</v>
      </c>
      <c r="K13">
        <v>97</v>
      </c>
      <c r="L13">
        <v>742</v>
      </c>
      <c r="N13">
        <v>-82.02</v>
      </c>
      <c r="O13">
        <v>87.65</v>
      </c>
      <c r="P13">
        <v>705.66</v>
      </c>
      <c r="R13">
        <f t="shared" si="0"/>
        <v>715.79734457456595</v>
      </c>
      <c r="T13" s="5">
        <v>102.19</v>
      </c>
      <c r="U13" s="5">
        <v>756.32</v>
      </c>
      <c r="V13" s="5">
        <v>48.97</v>
      </c>
      <c r="X13">
        <f t="shared" si="1"/>
        <v>2.3599999999999994</v>
      </c>
      <c r="Y13" s="28">
        <f t="shared" si="1"/>
        <v>-7.5599999999999881</v>
      </c>
      <c r="Z13" s="9">
        <f t="shared" si="1"/>
        <v>-36.340000000000032</v>
      </c>
      <c r="AB13">
        <f t="shared" si="2"/>
        <v>4.980000000000004</v>
      </c>
      <c r="AC13" s="33">
        <f t="shared" si="2"/>
        <v>-9.3499999999999943</v>
      </c>
      <c r="AD13">
        <f t="shared" si="2"/>
        <v>-36.340000000000032</v>
      </c>
      <c r="AF13" s="10">
        <f t="shared" si="4"/>
        <v>-74</v>
      </c>
      <c r="AG13" s="10">
        <f t="shared" si="5"/>
        <v>88</v>
      </c>
      <c r="AH13">
        <f t="shared" si="3"/>
        <v>114.97825881443848</v>
      </c>
    </row>
    <row r="14" spans="1:34" x14ac:dyDescent="0.3">
      <c r="A14">
        <v>13</v>
      </c>
      <c r="C14">
        <v>652</v>
      </c>
      <c r="D14">
        <v>448</v>
      </c>
      <c r="F14">
        <v>18.98</v>
      </c>
      <c r="G14">
        <v>95.08</v>
      </c>
      <c r="H14">
        <v>741</v>
      </c>
      <c r="J14">
        <v>18</v>
      </c>
      <c r="K14">
        <v>97</v>
      </c>
      <c r="L14">
        <v>741</v>
      </c>
      <c r="N14">
        <v>15.71</v>
      </c>
      <c r="O14">
        <v>89.43</v>
      </c>
      <c r="P14">
        <v>704.1</v>
      </c>
      <c r="R14">
        <f t="shared" si="0"/>
        <v>709.93051702261687</v>
      </c>
      <c r="T14" s="5">
        <v>4.42</v>
      </c>
      <c r="U14" s="5">
        <v>756.57</v>
      </c>
      <c r="V14" s="5">
        <v>49.2</v>
      </c>
      <c r="X14">
        <f t="shared" si="1"/>
        <v>-3.2699999999999996</v>
      </c>
      <c r="Y14" s="28">
        <f t="shared" si="1"/>
        <v>-5.6499999999999915</v>
      </c>
      <c r="Z14" s="9">
        <f t="shared" si="1"/>
        <v>-36.899999999999977</v>
      </c>
      <c r="AB14">
        <f t="shared" si="2"/>
        <v>-2.2899999999999991</v>
      </c>
      <c r="AC14" s="33">
        <f t="shared" si="2"/>
        <v>-7.5699999999999932</v>
      </c>
      <c r="AD14">
        <f t="shared" si="2"/>
        <v>-36.899999999999977</v>
      </c>
      <c r="AF14" s="10">
        <f t="shared" si="4"/>
        <v>12</v>
      </c>
      <c r="AG14" s="10">
        <f t="shared" si="5"/>
        <v>88</v>
      </c>
      <c r="AH14">
        <f t="shared" si="3"/>
        <v>88.814413244698073</v>
      </c>
    </row>
    <row r="15" spans="1:34" x14ac:dyDescent="0.3">
      <c r="A15">
        <v>14</v>
      </c>
      <c r="C15">
        <v>740</v>
      </c>
      <c r="D15">
        <v>448</v>
      </c>
      <c r="F15">
        <v>123.96</v>
      </c>
      <c r="G15">
        <v>94.57</v>
      </c>
      <c r="H15">
        <v>737</v>
      </c>
      <c r="J15">
        <v>123</v>
      </c>
      <c r="K15">
        <v>97</v>
      </c>
      <c r="L15">
        <v>737</v>
      </c>
      <c r="N15">
        <v>116.2</v>
      </c>
      <c r="O15">
        <v>90.62</v>
      </c>
      <c r="P15">
        <v>703.07</v>
      </c>
      <c r="R15">
        <f t="shared" si="0"/>
        <v>718.34660805212968</v>
      </c>
      <c r="T15" s="5">
        <v>-96.08</v>
      </c>
      <c r="U15" s="5">
        <v>755.98</v>
      </c>
      <c r="V15" s="5">
        <v>49.35</v>
      </c>
      <c r="X15">
        <f t="shared" si="1"/>
        <v>-7.7599999999999909</v>
      </c>
      <c r="Y15" s="28">
        <f t="shared" si="1"/>
        <v>-3.9499999999999886</v>
      </c>
      <c r="Z15" s="9">
        <f t="shared" si="1"/>
        <v>-33.92999999999995</v>
      </c>
      <c r="AB15">
        <f t="shared" si="2"/>
        <v>-6.7999999999999972</v>
      </c>
      <c r="AC15" s="33">
        <f t="shared" si="2"/>
        <v>-6.3799999999999955</v>
      </c>
      <c r="AD15">
        <f t="shared" si="2"/>
        <v>-33.92999999999995</v>
      </c>
      <c r="AF15" s="10">
        <f t="shared" si="4"/>
        <v>100</v>
      </c>
      <c r="AG15" s="10">
        <f t="shared" si="5"/>
        <v>88</v>
      </c>
      <c r="AH15">
        <f t="shared" si="3"/>
        <v>133.2066064427737</v>
      </c>
    </row>
    <row r="16" spans="1:34" x14ac:dyDescent="0.3">
      <c r="A16">
        <v>15</v>
      </c>
      <c r="C16">
        <v>829</v>
      </c>
      <c r="D16">
        <v>449</v>
      </c>
      <c r="F16">
        <v>229.92</v>
      </c>
      <c r="G16">
        <v>95.63</v>
      </c>
      <c r="H16">
        <v>736</v>
      </c>
      <c r="J16">
        <v>229</v>
      </c>
      <c r="K16">
        <v>97</v>
      </c>
      <c r="L16">
        <v>736</v>
      </c>
      <c r="N16">
        <v>214.85</v>
      </c>
      <c r="O16">
        <v>92.73</v>
      </c>
      <c r="P16">
        <v>701.42</v>
      </c>
      <c r="R16">
        <f t="shared" si="0"/>
        <v>739.42504136660125</v>
      </c>
      <c r="T16" s="5">
        <v>-194.76</v>
      </c>
      <c r="U16" s="5">
        <v>756.54</v>
      </c>
      <c r="V16" s="5">
        <v>49.47</v>
      </c>
      <c r="X16">
        <f t="shared" si="1"/>
        <v>-15.069999999999993</v>
      </c>
      <c r="Y16" s="28">
        <f t="shared" si="1"/>
        <v>-2.8999999999999915</v>
      </c>
      <c r="Z16" s="9">
        <f t="shared" si="1"/>
        <v>-34.580000000000041</v>
      </c>
      <c r="AB16">
        <f t="shared" si="2"/>
        <v>-14.150000000000006</v>
      </c>
      <c r="AC16" s="33">
        <f t="shared" si="2"/>
        <v>-4.269999999999996</v>
      </c>
      <c r="AD16">
        <f t="shared" si="2"/>
        <v>-34.580000000000041</v>
      </c>
      <c r="AF16" s="10">
        <f t="shared" si="4"/>
        <v>189</v>
      </c>
      <c r="AG16" s="10">
        <f t="shared" si="5"/>
        <v>89</v>
      </c>
      <c r="AH16">
        <f t="shared" si="3"/>
        <v>208.90667772955464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zoomScale="90" zoomScaleNormal="90" workbookViewId="0">
      <selection activeCell="C7" sqref="C7:D11"/>
    </sheetView>
  </sheetViews>
  <sheetFormatPr baseColWidth="10" defaultColWidth="8.88671875" defaultRowHeight="14.4" x14ac:dyDescent="0.3"/>
  <sheetData>
    <row r="1" spans="1:34" x14ac:dyDescent="0.3">
      <c r="A1" s="6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500</v>
      </c>
      <c r="D2">
        <v>312</v>
      </c>
      <c r="F2">
        <v>-188.22</v>
      </c>
      <c r="G2">
        <v>-79.28</v>
      </c>
      <c r="H2">
        <v>853</v>
      </c>
      <c r="J2">
        <v>-191</v>
      </c>
      <c r="K2">
        <v>-78</v>
      </c>
      <c r="L2">
        <v>853</v>
      </c>
      <c r="N2">
        <v>-180.75</v>
      </c>
      <c r="O2">
        <v>-77.22</v>
      </c>
      <c r="P2">
        <v>820.93</v>
      </c>
      <c r="R2">
        <f t="shared" ref="R2:R16" si="0" xml:space="preserve"> (N2^2+O2^2+P2^2)^0.5</f>
        <v>844.13242788083903</v>
      </c>
      <c r="T2" s="4">
        <v>205.22</v>
      </c>
      <c r="U2" s="4">
        <v>557.32000000000005</v>
      </c>
      <c r="V2" s="4">
        <v>50.21</v>
      </c>
      <c r="X2">
        <f t="shared" ref="X2:Z16" si="1">N2-F2</f>
        <v>7.4699999999999989</v>
      </c>
      <c r="Y2">
        <f t="shared" si="1"/>
        <v>2.0600000000000023</v>
      </c>
      <c r="Z2" s="9">
        <f t="shared" si="1"/>
        <v>-32.07000000000005</v>
      </c>
      <c r="AB2">
        <f t="shared" ref="AB2:AD16" si="2">N2-J2</f>
        <v>10.25</v>
      </c>
      <c r="AC2">
        <f t="shared" si="2"/>
        <v>0.78000000000000114</v>
      </c>
      <c r="AD2">
        <f t="shared" si="2"/>
        <v>-32.07000000000005</v>
      </c>
      <c r="AF2" s="10">
        <f>C2-640</f>
        <v>-140</v>
      </c>
      <c r="AG2" s="10">
        <f>D2-360</f>
        <v>-48</v>
      </c>
      <c r="AH2">
        <f t="shared" ref="AH2:AH16" si="3">((C2-640)^2+(D2-360)^2)^0.5</f>
        <v>148</v>
      </c>
    </row>
    <row r="3" spans="1:34" x14ac:dyDescent="0.3">
      <c r="A3">
        <v>2</v>
      </c>
      <c r="C3">
        <v>577</v>
      </c>
      <c r="D3">
        <v>313</v>
      </c>
      <c r="F3">
        <v>-81.8</v>
      </c>
      <c r="G3">
        <v>-77.900000000000006</v>
      </c>
      <c r="H3">
        <v>853</v>
      </c>
      <c r="J3">
        <v>-85</v>
      </c>
      <c r="K3">
        <v>-77</v>
      </c>
      <c r="L3">
        <v>853</v>
      </c>
      <c r="N3">
        <v>-79.260000000000005</v>
      </c>
      <c r="O3">
        <v>-75.14</v>
      </c>
      <c r="P3">
        <v>819.6</v>
      </c>
      <c r="R3">
        <f t="shared" si="0"/>
        <v>826.84480236619981</v>
      </c>
      <c r="T3" s="4">
        <v>103.7</v>
      </c>
      <c r="U3" s="4">
        <v>557.6</v>
      </c>
      <c r="V3" s="4">
        <v>50.09</v>
      </c>
      <c r="X3">
        <f t="shared" si="1"/>
        <v>2.539999999999992</v>
      </c>
      <c r="Y3">
        <f t="shared" si="1"/>
        <v>2.7600000000000051</v>
      </c>
      <c r="Z3" s="9">
        <f t="shared" si="1"/>
        <v>-33.399999999999977</v>
      </c>
      <c r="AB3">
        <f t="shared" si="2"/>
        <v>5.7399999999999949</v>
      </c>
      <c r="AC3">
        <f t="shared" si="2"/>
        <v>1.8599999999999994</v>
      </c>
      <c r="AD3">
        <f t="shared" si="2"/>
        <v>-33.399999999999977</v>
      </c>
      <c r="AF3" s="10">
        <f t="shared" ref="AF3:AF16" si="4">C3-640</f>
        <v>-63</v>
      </c>
      <c r="AG3" s="10">
        <f t="shared" ref="AG3:AG16" si="5">D3-360</f>
        <v>-47</v>
      </c>
      <c r="AH3">
        <f t="shared" si="3"/>
        <v>78.600254452514335</v>
      </c>
    </row>
    <row r="4" spans="1:34" x14ac:dyDescent="0.3">
      <c r="A4">
        <v>3</v>
      </c>
      <c r="C4">
        <v>652</v>
      </c>
      <c r="D4">
        <v>313</v>
      </c>
      <c r="F4">
        <v>21.69</v>
      </c>
      <c r="G4">
        <v>-77.349999999999994</v>
      </c>
      <c r="H4">
        <v>847</v>
      </c>
      <c r="J4">
        <v>20</v>
      </c>
      <c r="K4">
        <v>-76</v>
      </c>
      <c r="L4">
        <v>847</v>
      </c>
      <c r="N4">
        <v>19.61</v>
      </c>
      <c r="O4">
        <v>-74.16</v>
      </c>
      <c r="P4">
        <v>818.36</v>
      </c>
      <c r="R4">
        <f t="shared" si="0"/>
        <v>821.94728985501251</v>
      </c>
      <c r="T4" s="4">
        <v>4.8099999999999996</v>
      </c>
      <c r="U4" s="4">
        <v>556.99</v>
      </c>
      <c r="V4" s="4">
        <v>50.53</v>
      </c>
      <c r="X4">
        <f t="shared" si="1"/>
        <v>-2.0800000000000018</v>
      </c>
      <c r="Y4">
        <f t="shared" si="1"/>
        <v>3.1899999999999977</v>
      </c>
      <c r="Z4" s="9">
        <f t="shared" si="1"/>
        <v>-28.639999999999986</v>
      </c>
      <c r="AB4">
        <f t="shared" si="2"/>
        <v>-0.39000000000000057</v>
      </c>
      <c r="AC4">
        <f t="shared" si="2"/>
        <v>1.8400000000000034</v>
      </c>
      <c r="AD4">
        <f t="shared" si="2"/>
        <v>-28.639999999999986</v>
      </c>
      <c r="AF4" s="10">
        <f t="shared" si="4"/>
        <v>12</v>
      </c>
      <c r="AG4" s="10">
        <f t="shared" si="5"/>
        <v>-47</v>
      </c>
      <c r="AH4">
        <f t="shared" si="3"/>
        <v>48.507731342539614</v>
      </c>
    </row>
    <row r="5" spans="1:34" x14ac:dyDescent="0.3">
      <c r="A5">
        <v>4</v>
      </c>
      <c r="C5">
        <v>728</v>
      </c>
      <c r="D5">
        <v>313</v>
      </c>
      <c r="F5">
        <v>125.69</v>
      </c>
      <c r="G5">
        <v>-77.17</v>
      </c>
      <c r="H5">
        <v>845</v>
      </c>
      <c r="J5">
        <v>125</v>
      </c>
      <c r="K5">
        <v>-76</v>
      </c>
      <c r="L5">
        <v>845</v>
      </c>
      <c r="N5">
        <v>120.75</v>
      </c>
      <c r="O5">
        <v>-72.78</v>
      </c>
      <c r="P5">
        <v>817.14</v>
      </c>
      <c r="R5">
        <f t="shared" si="0"/>
        <v>829.21364587179824</v>
      </c>
      <c r="T5" s="4">
        <v>-96.34</v>
      </c>
      <c r="U5" s="4">
        <v>556.65</v>
      </c>
      <c r="V5" s="4">
        <v>50.72</v>
      </c>
      <c r="X5">
        <f t="shared" si="1"/>
        <v>-4.9399999999999977</v>
      </c>
      <c r="Y5">
        <f t="shared" si="1"/>
        <v>4.3900000000000006</v>
      </c>
      <c r="Z5" s="9">
        <f t="shared" si="1"/>
        <v>-27.860000000000014</v>
      </c>
      <c r="AB5">
        <f t="shared" si="2"/>
        <v>-4.25</v>
      </c>
      <c r="AC5">
        <f t="shared" si="2"/>
        <v>3.2199999999999989</v>
      </c>
      <c r="AD5">
        <f t="shared" si="2"/>
        <v>-27.860000000000014</v>
      </c>
      <c r="AF5" s="10">
        <f t="shared" si="4"/>
        <v>88</v>
      </c>
      <c r="AG5" s="10">
        <f t="shared" si="5"/>
        <v>-47</v>
      </c>
      <c r="AH5">
        <f t="shared" si="3"/>
        <v>99.76472322419383</v>
      </c>
    </row>
    <row r="6" spans="1:34" x14ac:dyDescent="0.3">
      <c r="A6">
        <v>5</v>
      </c>
      <c r="C6">
        <v>805</v>
      </c>
      <c r="D6">
        <v>314</v>
      </c>
      <c r="F6">
        <v>230.84</v>
      </c>
      <c r="G6">
        <v>-75.7</v>
      </c>
      <c r="H6">
        <v>844</v>
      </c>
      <c r="J6">
        <v>230</v>
      </c>
      <c r="K6">
        <v>-74</v>
      </c>
      <c r="L6">
        <v>844</v>
      </c>
      <c r="N6">
        <v>220.21</v>
      </c>
      <c r="O6">
        <v>-70.33</v>
      </c>
      <c r="P6">
        <v>814.72</v>
      </c>
      <c r="R6">
        <f t="shared" si="0"/>
        <v>846.88100191231126</v>
      </c>
      <c r="T6" s="4">
        <v>-195.85</v>
      </c>
      <c r="U6" s="4">
        <v>557.91</v>
      </c>
      <c r="V6" s="4">
        <v>51.27</v>
      </c>
      <c r="X6">
        <f t="shared" si="1"/>
        <v>-10.629999999999995</v>
      </c>
      <c r="Y6">
        <f t="shared" si="1"/>
        <v>5.3700000000000045</v>
      </c>
      <c r="Z6" s="9">
        <f t="shared" si="1"/>
        <v>-29.279999999999973</v>
      </c>
      <c r="AB6">
        <f t="shared" si="2"/>
        <v>-9.789999999999992</v>
      </c>
      <c r="AC6">
        <f t="shared" si="2"/>
        <v>3.6700000000000017</v>
      </c>
      <c r="AD6">
        <f t="shared" si="2"/>
        <v>-29.279999999999973</v>
      </c>
      <c r="AF6" s="10">
        <f t="shared" si="4"/>
        <v>165</v>
      </c>
      <c r="AG6" s="10">
        <f t="shared" si="5"/>
        <v>-46</v>
      </c>
      <c r="AH6">
        <f t="shared" si="3"/>
        <v>171.29214809792072</v>
      </c>
    </row>
    <row r="7" spans="1:34" x14ac:dyDescent="0.3">
      <c r="A7">
        <v>6</v>
      </c>
      <c r="C7" s="30">
        <v>490</v>
      </c>
      <c r="D7" s="30">
        <v>374</v>
      </c>
      <c r="F7">
        <v>-188.3</v>
      </c>
      <c r="G7">
        <v>6.29</v>
      </c>
      <c r="H7">
        <v>795</v>
      </c>
      <c r="J7">
        <v>-191</v>
      </c>
      <c r="K7">
        <v>8</v>
      </c>
      <c r="L7">
        <v>795</v>
      </c>
      <c r="N7">
        <v>-182.84</v>
      </c>
      <c r="O7">
        <v>4.3600000000000003</v>
      </c>
      <c r="P7">
        <v>764.38</v>
      </c>
      <c r="R7">
        <f t="shared" si="0"/>
        <v>785.95563462577195</v>
      </c>
      <c r="T7" s="3">
        <v>205.18</v>
      </c>
      <c r="U7" s="3">
        <v>656.61</v>
      </c>
      <c r="V7" s="3">
        <v>49.2</v>
      </c>
      <c r="X7">
        <f t="shared" si="1"/>
        <v>5.460000000000008</v>
      </c>
      <c r="Y7">
        <f t="shared" si="1"/>
        <v>-1.9299999999999997</v>
      </c>
      <c r="Z7" s="9">
        <f t="shared" si="1"/>
        <v>-30.620000000000005</v>
      </c>
      <c r="AB7">
        <f t="shared" si="2"/>
        <v>8.1599999999999966</v>
      </c>
      <c r="AC7">
        <f t="shared" si="2"/>
        <v>-3.6399999999999997</v>
      </c>
      <c r="AD7">
        <f t="shared" si="2"/>
        <v>-30.620000000000005</v>
      </c>
      <c r="AF7" s="10">
        <f t="shared" si="4"/>
        <v>-150</v>
      </c>
      <c r="AG7" s="10">
        <f t="shared" si="5"/>
        <v>14</v>
      </c>
      <c r="AH7">
        <f t="shared" si="3"/>
        <v>150.65191668213185</v>
      </c>
    </row>
    <row r="8" spans="1:34" x14ac:dyDescent="0.3">
      <c r="A8">
        <v>7</v>
      </c>
      <c r="C8" s="30">
        <v>571</v>
      </c>
      <c r="D8" s="30">
        <v>375</v>
      </c>
      <c r="F8">
        <v>-83.75</v>
      </c>
      <c r="G8">
        <v>7.57</v>
      </c>
      <c r="H8">
        <v>793</v>
      </c>
      <c r="J8">
        <v>-87</v>
      </c>
      <c r="K8">
        <v>9</v>
      </c>
      <c r="L8">
        <v>793</v>
      </c>
      <c r="N8">
        <v>-81.489999999999995</v>
      </c>
      <c r="O8">
        <v>5.73</v>
      </c>
      <c r="P8">
        <v>763.2</v>
      </c>
      <c r="R8">
        <f t="shared" si="0"/>
        <v>767.55956967521422</v>
      </c>
      <c r="T8" s="3">
        <v>103.81</v>
      </c>
      <c r="U8" s="3">
        <v>656.23</v>
      </c>
      <c r="V8" s="3">
        <v>49.36</v>
      </c>
      <c r="X8">
        <f t="shared" si="1"/>
        <v>2.2600000000000051</v>
      </c>
      <c r="Y8">
        <f t="shared" si="1"/>
        <v>-1.8399999999999999</v>
      </c>
      <c r="Z8" s="9">
        <f t="shared" si="1"/>
        <v>-29.799999999999955</v>
      </c>
      <c r="AB8">
        <f t="shared" si="2"/>
        <v>5.5100000000000051</v>
      </c>
      <c r="AC8">
        <f t="shared" si="2"/>
        <v>-3.2699999999999996</v>
      </c>
      <c r="AD8">
        <f t="shared" si="2"/>
        <v>-29.799999999999955</v>
      </c>
      <c r="AF8" s="10">
        <f t="shared" si="4"/>
        <v>-69</v>
      </c>
      <c r="AG8" s="10">
        <f t="shared" si="5"/>
        <v>15</v>
      </c>
      <c r="AH8">
        <f t="shared" si="3"/>
        <v>70.611613775638915</v>
      </c>
    </row>
    <row r="9" spans="1:34" x14ac:dyDescent="0.3">
      <c r="A9">
        <v>8</v>
      </c>
      <c r="C9" s="30">
        <v>652</v>
      </c>
      <c r="D9" s="30">
        <v>376</v>
      </c>
      <c r="F9">
        <v>20.36</v>
      </c>
      <c r="G9">
        <v>8.8800000000000008</v>
      </c>
      <c r="H9">
        <v>795</v>
      </c>
      <c r="J9">
        <v>19</v>
      </c>
      <c r="K9">
        <v>11</v>
      </c>
      <c r="L9">
        <v>795</v>
      </c>
      <c r="N9">
        <v>17.829999999999998</v>
      </c>
      <c r="O9">
        <v>8.06</v>
      </c>
      <c r="P9">
        <v>761.03</v>
      </c>
      <c r="R9">
        <f t="shared" si="0"/>
        <v>761.28150732826816</v>
      </c>
      <c r="T9" s="3">
        <v>4.4400000000000004</v>
      </c>
      <c r="U9" s="3">
        <v>657.25</v>
      </c>
      <c r="V9" s="3">
        <v>49.78</v>
      </c>
      <c r="X9">
        <f t="shared" si="1"/>
        <v>-2.5300000000000011</v>
      </c>
      <c r="Y9">
        <f t="shared" si="1"/>
        <v>-0.82000000000000028</v>
      </c>
      <c r="Z9" s="9">
        <f t="shared" si="1"/>
        <v>-33.970000000000027</v>
      </c>
      <c r="AB9">
        <f t="shared" si="2"/>
        <v>-1.1700000000000017</v>
      </c>
      <c r="AC9">
        <f t="shared" si="2"/>
        <v>-2.9399999999999995</v>
      </c>
      <c r="AD9">
        <f t="shared" si="2"/>
        <v>-33.970000000000027</v>
      </c>
      <c r="AF9" s="10">
        <f t="shared" si="4"/>
        <v>12</v>
      </c>
      <c r="AG9" s="10">
        <f t="shared" si="5"/>
        <v>16</v>
      </c>
      <c r="AH9">
        <f t="shared" si="3"/>
        <v>20</v>
      </c>
    </row>
    <row r="10" spans="1:34" x14ac:dyDescent="0.3">
      <c r="A10">
        <v>9</v>
      </c>
      <c r="C10" s="30">
        <v>734</v>
      </c>
      <c r="D10" s="30">
        <v>376</v>
      </c>
      <c r="F10">
        <v>125.35</v>
      </c>
      <c r="G10">
        <v>8.83</v>
      </c>
      <c r="H10">
        <v>791</v>
      </c>
      <c r="J10">
        <v>125</v>
      </c>
      <c r="K10">
        <v>11</v>
      </c>
      <c r="L10">
        <v>791</v>
      </c>
      <c r="N10">
        <v>118.95</v>
      </c>
      <c r="O10">
        <v>8.99</v>
      </c>
      <c r="P10">
        <v>759.79</v>
      </c>
      <c r="R10">
        <f t="shared" si="0"/>
        <v>769.09737140364746</v>
      </c>
      <c r="T10" s="3">
        <v>-96.69</v>
      </c>
      <c r="U10" s="3">
        <v>656.55</v>
      </c>
      <c r="V10" s="3">
        <v>50.25</v>
      </c>
      <c r="X10">
        <f t="shared" si="1"/>
        <v>-6.3999999999999915</v>
      </c>
      <c r="Y10">
        <f t="shared" si="1"/>
        <v>0.16000000000000014</v>
      </c>
      <c r="Z10" s="9">
        <f t="shared" si="1"/>
        <v>-31.210000000000036</v>
      </c>
      <c r="AB10">
        <f t="shared" si="2"/>
        <v>-6.0499999999999972</v>
      </c>
      <c r="AC10">
        <f t="shared" si="2"/>
        <v>-2.0099999999999998</v>
      </c>
      <c r="AD10">
        <f t="shared" si="2"/>
        <v>-31.210000000000036</v>
      </c>
      <c r="AF10" s="10">
        <f t="shared" si="4"/>
        <v>94</v>
      </c>
      <c r="AG10" s="10">
        <f t="shared" si="5"/>
        <v>16</v>
      </c>
      <c r="AH10">
        <f t="shared" si="3"/>
        <v>95.351979528481735</v>
      </c>
    </row>
    <row r="11" spans="1:34" x14ac:dyDescent="0.3">
      <c r="A11">
        <v>10</v>
      </c>
      <c r="C11" s="30">
        <v>815</v>
      </c>
      <c r="D11" s="30">
        <v>376</v>
      </c>
      <c r="F11">
        <v>228.29</v>
      </c>
      <c r="G11">
        <v>8.8000000000000007</v>
      </c>
      <c r="H11">
        <v>788</v>
      </c>
      <c r="J11">
        <v>228</v>
      </c>
      <c r="K11">
        <v>10</v>
      </c>
      <c r="L11">
        <v>788</v>
      </c>
      <c r="N11">
        <v>217.55</v>
      </c>
      <c r="O11">
        <v>9.77</v>
      </c>
      <c r="P11">
        <v>759.41</v>
      </c>
      <c r="R11">
        <f t="shared" si="0"/>
        <v>790.0170906379177</v>
      </c>
      <c r="T11" s="3">
        <v>-195.28</v>
      </c>
      <c r="U11" s="3">
        <v>655.29</v>
      </c>
      <c r="V11" s="3">
        <v>50.1</v>
      </c>
      <c r="X11">
        <f t="shared" si="1"/>
        <v>-10.739999999999981</v>
      </c>
      <c r="Y11">
        <f t="shared" si="1"/>
        <v>0.96999999999999886</v>
      </c>
      <c r="Z11" s="9">
        <f t="shared" si="1"/>
        <v>-28.590000000000032</v>
      </c>
      <c r="AB11">
        <f t="shared" si="2"/>
        <v>-10.449999999999989</v>
      </c>
      <c r="AC11">
        <f t="shared" si="2"/>
        <v>-0.23000000000000043</v>
      </c>
      <c r="AD11">
        <f t="shared" si="2"/>
        <v>-28.590000000000032</v>
      </c>
      <c r="AF11" s="10">
        <f t="shared" si="4"/>
        <v>175</v>
      </c>
      <c r="AG11" s="10">
        <f t="shared" si="5"/>
        <v>16</v>
      </c>
      <c r="AH11">
        <f t="shared" si="3"/>
        <v>175.72990639046048</v>
      </c>
    </row>
    <row r="12" spans="1:34" x14ac:dyDescent="0.3">
      <c r="A12">
        <v>11</v>
      </c>
      <c r="C12">
        <v>475</v>
      </c>
      <c r="D12">
        <v>447</v>
      </c>
      <c r="F12">
        <v>-191.95</v>
      </c>
      <c r="G12">
        <v>93.11</v>
      </c>
      <c r="H12">
        <v>735</v>
      </c>
      <c r="J12">
        <v>-194</v>
      </c>
      <c r="K12">
        <v>95</v>
      </c>
      <c r="L12">
        <v>735</v>
      </c>
      <c r="N12">
        <v>-185.38</v>
      </c>
      <c r="O12">
        <v>86.32</v>
      </c>
      <c r="P12">
        <v>706.67</v>
      </c>
      <c r="R12">
        <f t="shared" si="0"/>
        <v>735.66254199870741</v>
      </c>
      <c r="T12" s="5">
        <v>205.56</v>
      </c>
      <c r="U12" s="5">
        <v>756.87</v>
      </c>
      <c r="V12" s="5">
        <v>48.92</v>
      </c>
      <c r="X12">
        <f t="shared" si="1"/>
        <v>6.5699999999999932</v>
      </c>
      <c r="Y12">
        <f t="shared" si="1"/>
        <v>-6.7900000000000063</v>
      </c>
      <c r="Z12" s="9">
        <f t="shared" si="1"/>
        <v>-28.330000000000041</v>
      </c>
      <c r="AB12">
        <f t="shared" si="2"/>
        <v>8.6200000000000045</v>
      </c>
      <c r="AC12">
        <f t="shared" si="2"/>
        <v>-8.6800000000000068</v>
      </c>
      <c r="AD12">
        <f t="shared" si="2"/>
        <v>-28.330000000000041</v>
      </c>
      <c r="AF12" s="10">
        <f t="shared" si="4"/>
        <v>-165</v>
      </c>
      <c r="AG12" s="10">
        <f t="shared" si="5"/>
        <v>87</v>
      </c>
      <c r="AH12">
        <f t="shared" si="3"/>
        <v>186.53149868051776</v>
      </c>
    </row>
    <row r="13" spans="1:34" x14ac:dyDescent="0.3">
      <c r="A13">
        <v>12</v>
      </c>
      <c r="C13">
        <v>566</v>
      </c>
      <c r="D13">
        <v>447</v>
      </c>
      <c r="F13">
        <v>-83.81</v>
      </c>
      <c r="G13">
        <v>93.37</v>
      </c>
      <c r="H13">
        <v>737</v>
      </c>
      <c r="J13">
        <v>-86</v>
      </c>
      <c r="K13">
        <v>96</v>
      </c>
      <c r="L13">
        <v>737</v>
      </c>
      <c r="N13">
        <v>-83.64</v>
      </c>
      <c r="O13">
        <v>87.64</v>
      </c>
      <c r="P13">
        <v>705.78</v>
      </c>
      <c r="R13">
        <f t="shared" si="0"/>
        <v>716.10182767536628</v>
      </c>
      <c r="T13" s="5">
        <v>102.6</v>
      </c>
      <c r="U13" s="5">
        <v>756.28</v>
      </c>
      <c r="V13" s="5">
        <v>48.87</v>
      </c>
      <c r="X13">
        <f t="shared" si="1"/>
        <v>0.17000000000000171</v>
      </c>
      <c r="Y13">
        <f t="shared" si="1"/>
        <v>-5.730000000000004</v>
      </c>
      <c r="Z13" s="9">
        <f t="shared" si="1"/>
        <v>-31.220000000000027</v>
      </c>
      <c r="AB13">
        <f t="shared" si="2"/>
        <v>2.3599999999999994</v>
      </c>
      <c r="AC13">
        <f t="shared" si="2"/>
        <v>-8.36</v>
      </c>
      <c r="AD13">
        <f t="shared" si="2"/>
        <v>-31.220000000000027</v>
      </c>
      <c r="AF13" s="10">
        <f t="shared" si="4"/>
        <v>-74</v>
      </c>
      <c r="AG13" s="10">
        <f t="shared" si="5"/>
        <v>87</v>
      </c>
      <c r="AH13">
        <f t="shared" si="3"/>
        <v>114.21471008587291</v>
      </c>
    </row>
    <row r="14" spans="1:34" x14ac:dyDescent="0.3">
      <c r="A14">
        <v>13</v>
      </c>
      <c r="C14">
        <v>652</v>
      </c>
      <c r="D14">
        <v>449</v>
      </c>
      <c r="F14">
        <v>18.899999999999999</v>
      </c>
      <c r="G14">
        <v>95.89</v>
      </c>
      <c r="H14">
        <v>738</v>
      </c>
      <c r="J14">
        <v>17</v>
      </c>
      <c r="K14">
        <v>98</v>
      </c>
      <c r="L14">
        <v>738</v>
      </c>
      <c r="N14">
        <v>15.62</v>
      </c>
      <c r="O14">
        <v>90.08</v>
      </c>
      <c r="P14">
        <v>703.52</v>
      </c>
      <c r="R14">
        <f t="shared" si="0"/>
        <v>709.43553702926386</v>
      </c>
      <c r="T14" s="5">
        <v>4.5</v>
      </c>
      <c r="U14" s="5">
        <v>757.44</v>
      </c>
      <c r="V14" s="5">
        <v>49.3</v>
      </c>
      <c r="X14">
        <f t="shared" si="1"/>
        <v>-3.2799999999999994</v>
      </c>
      <c r="Y14">
        <f t="shared" si="1"/>
        <v>-5.8100000000000023</v>
      </c>
      <c r="Z14" s="9">
        <f t="shared" si="1"/>
        <v>-34.480000000000018</v>
      </c>
      <c r="AB14">
        <f t="shared" si="2"/>
        <v>-1.3800000000000008</v>
      </c>
      <c r="AC14">
        <f t="shared" si="2"/>
        <v>-7.9200000000000017</v>
      </c>
      <c r="AD14">
        <f t="shared" si="2"/>
        <v>-34.480000000000018</v>
      </c>
      <c r="AF14" s="10">
        <f t="shared" si="4"/>
        <v>12</v>
      </c>
      <c r="AG14" s="10">
        <f t="shared" si="5"/>
        <v>89</v>
      </c>
      <c r="AH14">
        <f t="shared" si="3"/>
        <v>89.805345052507874</v>
      </c>
    </row>
    <row r="15" spans="1:34" x14ac:dyDescent="0.3">
      <c r="A15">
        <v>14</v>
      </c>
      <c r="C15">
        <v>741</v>
      </c>
      <c r="D15">
        <v>450</v>
      </c>
      <c r="F15" s="7">
        <v>124.13</v>
      </c>
      <c r="G15">
        <v>96.17</v>
      </c>
      <c r="H15">
        <v>731</v>
      </c>
      <c r="J15">
        <v>124</v>
      </c>
      <c r="K15">
        <v>98</v>
      </c>
      <c r="L15">
        <v>731</v>
      </c>
      <c r="N15">
        <v>116.89</v>
      </c>
      <c r="O15">
        <v>92.23</v>
      </c>
      <c r="P15">
        <v>701.66</v>
      </c>
      <c r="R15">
        <f t="shared" si="0"/>
        <v>717.28404457369606</v>
      </c>
      <c r="T15" s="5">
        <v>-96.81</v>
      </c>
      <c r="U15" s="5">
        <v>758.09</v>
      </c>
      <c r="V15" s="5">
        <v>49.57</v>
      </c>
      <c r="X15">
        <f t="shared" si="1"/>
        <v>-7.2399999999999949</v>
      </c>
      <c r="Y15">
        <f t="shared" si="1"/>
        <v>-3.9399999999999977</v>
      </c>
      <c r="Z15" s="9">
        <f t="shared" si="1"/>
        <v>-29.340000000000032</v>
      </c>
      <c r="AB15">
        <f t="shared" si="2"/>
        <v>-7.1099999999999994</v>
      </c>
      <c r="AC15">
        <f t="shared" si="2"/>
        <v>-5.769999999999996</v>
      </c>
      <c r="AD15">
        <f t="shared" si="2"/>
        <v>-29.340000000000032</v>
      </c>
      <c r="AF15" s="10">
        <f t="shared" si="4"/>
        <v>101</v>
      </c>
      <c r="AG15" s="10">
        <f t="shared" si="5"/>
        <v>90</v>
      </c>
      <c r="AH15">
        <f t="shared" si="3"/>
        <v>135.28118864054971</v>
      </c>
    </row>
    <row r="16" spans="1:34" x14ac:dyDescent="0.3">
      <c r="A16">
        <v>15</v>
      </c>
      <c r="C16">
        <v>828</v>
      </c>
      <c r="D16">
        <v>450</v>
      </c>
      <c r="F16">
        <v>227.17</v>
      </c>
      <c r="G16">
        <v>96.17</v>
      </c>
      <c r="H16">
        <v>731</v>
      </c>
      <c r="J16">
        <v>226</v>
      </c>
      <c r="K16">
        <v>98</v>
      </c>
      <c r="L16">
        <v>731</v>
      </c>
      <c r="N16">
        <v>215.19</v>
      </c>
      <c r="O16">
        <v>92.57</v>
      </c>
      <c r="P16">
        <v>700.6</v>
      </c>
      <c r="R16">
        <f t="shared" si="0"/>
        <v>738.72613396305405</v>
      </c>
      <c r="T16" s="5">
        <v>-195.11</v>
      </c>
      <c r="U16" s="5">
        <v>756.87</v>
      </c>
      <c r="V16" s="5">
        <v>50.23</v>
      </c>
      <c r="X16">
        <f t="shared" si="1"/>
        <v>-11.97999999999999</v>
      </c>
      <c r="Y16">
        <f t="shared" si="1"/>
        <v>-3.6000000000000085</v>
      </c>
      <c r="Z16" s="9">
        <f t="shared" si="1"/>
        <v>-30.399999999999977</v>
      </c>
      <c r="AB16">
        <f t="shared" si="2"/>
        <v>-10.810000000000002</v>
      </c>
      <c r="AC16">
        <f t="shared" si="2"/>
        <v>-5.4300000000000068</v>
      </c>
      <c r="AD16">
        <f t="shared" si="2"/>
        <v>-30.399999999999977</v>
      </c>
      <c r="AF16" s="10">
        <f t="shared" si="4"/>
        <v>188</v>
      </c>
      <c r="AG16" s="10">
        <f t="shared" si="5"/>
        <v>90</v>
      </c>
      <c r="AH16">
        <f t="shared" si="3"/>
        <v>208.43224318708465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zoomScale="90" zoomScaleNormal="90" workbookViewId="0">
      <selection activeCell="C7" sqref="C7:D11"/>
    </sheetView>
  </sheetViews>
  <sheetFormatPr baseColWidth="10" defaultColWidth="8.88671875" defaultRowHeight="14.4" x14ac:dyDescent="0.3"/>
  <sheetData>
    <row r="1" spans="1:34" x14ac:dyDescent="0.3">
      <c r="A1" s="8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500</v>
      </c>
      <c r="D2">
        <v>312</v>
      </c>
      <c r="F2">
        <v>-185.13</v>
      </c>
      <c r="G2">
        <v>-77.98</v>
      </c>
      <c r="H2">
        <v>839</v>
      </c>
      <c r="J2">
        <v>-188</v>
      </c>
      <c r="K2">
        <v>-76</v>
      </c>
      <c r="L2">
        <v>839</v>
      </c>
      <c r="N2">
        <v>-180.2</v>
      </c>
      <c r="O2">
        <v>-77.45</v>
      </c>
      <c r="P2">
        <v>821.36</v>
      </c>
      <c r="R2">
        <f t="shared" ref="R2:R16" si="0" xml:space="preserve"> (N2^2+O2^2+P2^2)^0.5</f>
        <v>844.4541385415788</v>
      </c>
      <c r="T2" s="4">
        <v>204.68</v>
      </c>
      <c r="U2" s="4">
        <v>556.87</v>
      </c>
      <c r="V2" s="4">
        <v>50</v>
      </c>
      <c r="X2">
        <f t="shared" ref="X2:Z16" si="1">N2-F2</f>
        <v>4.9300000000000068</v>
      </c>
      <c r="Y2">
        <f t="shared" si="1"/>
        <v>0.53000000000000114</v>
      </c>
      <c r="Z2" s="9">
        <f t="shared" si="1"/>
        <v>-17.639999999999986</v>
      </c>
      <c r="AB2">
        <f t="shared" ref="AB2:AD16" si="2">N2-J2</f>
        <v>7.8000000000000114</v>
      </c>
      <c r="AC2">
        <f t="shared" si="2"/>
        <v>-1.4500000000000028</v>
      </c>
      <c r="AD2">
        <f t="shared" si="2"/>
        <v>-17.639999999999986</v>
      </c>
      <c r="AF2" s="10">
        <f>C2-640</f>
        <v>-140</v>
      </c>
      <c r="AG2" s="10">
        <f>D2-360</f>
        <v>-48</v>
      </c>
      <c r="AH2">
        <f t="shared" ref="AH2:AH16" si="3">((C2-640)^2+(D2-360)^2)^0.5</f>
        <v>148</v>
      </c>
    </row>
    <row r="3" spans="1:34" x14ac:dyDescent="0.3">
      <c r="A3">
        <v>2</v>
      </c>
      <c r="C3">
        <v>577</v>
      </c>
      <c r="D3">
        <v>312</v>
      </c>
      <c r="F3">
        <v>-80.17</v>
      </c>
      <c r="G3">
        <v>-77.7</v>
      </c>
      <c r="H3">
        <v>836</v>
      </c>
      <c r="J3">
        <v>-83</v>
      </c>
      <c r="K3">
        <v>-77</v>
      </c>
      <c r="L3">
        <v>836</v>
      </c>
      <c r="N3">
        <v>-79.680000000000007</v>
      </c>
      <c r="O3">
        <v>-75.47</v>
      </c>
      <c r="P3">
        <v>819.44</v>
      </c>
      <c r="R3">
        <f t="shared" si="0"/>
        <v>826.75663704623503</v>
      </c>
      <c r="T3" s="4">
        <v>104.12</v>
      </c>
      <c r="U3" s="4">
        <v>557.07000000000005</v>
      </c>
      <c r="V3" s="4">
        <v>50.18</v>
      </c>
      <c r="X3">
        <f t="shared" si="1"/>
        <v>0.48999999999999488</v>
      </c>
      <c r="Y3">
        <f t="shared" si="1"/>
        <v>2.230000000000004</v>
      </c>
      <c r="Z3" s="9">
        <f t="shared" si="1"/>
        <v>-16.559999999999945</v>
      </c>
      <c r="AB3">
        <f t="shared" si="2"/>
        <v>3.3199999999999932</v>
      </c>
      <c r="AC3">
        <f t="shared" si="2"/>
        <v>1.5300000000000011</v>
      </c>
      <c r="AD3">
        <f t="shared" si="2"/>
        <v>-16.559999999999945</v>
      </c>
      <c r="AF3" s="10">
        <f t="shared" ref="AF3:AF16" si="4">C3-640</f>
        <v>-63</v>
      </c>
      <c r="AG3" s="10">
        <f t="shared" ref="AG3:AG16" si="5">D3-360</f>
        <v>-48</v>
      </c>
      <c r="AH3">
        <f t="shared" si="3"/>
        <v>79.202272694664515</v>
      </c>
    </row>
    <row r="4" spans="1:34" x14ac:dyDescent="0.3">
      <c r="A4">
        <v>3</v>
      </c>
      <c r="C4">
        <v>652</v>
      </c>
      <c r="D4">
        <v>312</v>
      </c>
      <c r="F4">
        <v>21.49</v>
      </c>
      <c r="G4">
        <v>-77.98</v>
      </c>
      <c r="H4">
        <v>839</v>
      </c>
      <c r="J4">
        <v>20</v>
      </c>
      <c r="K4">
        <v>-77</v>
      </c>
      <c r="L4">
        <v>839</v>
      </c>
      <c r="N4">
        <v>20.64</v>
      </c>
      <c r="O4">
        <v>-73.540000000000006</v>
      </c>
      <c r="P4">
        <v>817.77</v>
      </c>
      <c r="R4">
        <f t="shared" si="0"/>
        <v>821.32935787051952</v>
      </c>
      <c r="T4" s="4">
        <v>3.76</v>
      </c>
      <c r="U4" s="4">
        <v>557.42999999999995</v>
      </c>
      <c r="V4" s="4">
        <v>50.41</v>
      </c>
      <c r="X4">
        <f t="shared" si="1"/>
        <v>-0.84999999999999787</v>
      </c>
      <c r="Y4">
        <f t="shared" si="1"/>
        <v>4.4399999999999977</v>
      </c>
      <c r="Z4" s="9">
        <f t="shared" si="1"/>
        <v>-21.230000000000018</v>
      </c>
      <c r="AB4">
        <f t="shared" si="2"/>
        <v>0.64000000000000057</v>
      </c>
      <c r="AC4">
        <f t="shared" si="2"/>
        <v>3.4599999999999937</v>
      </c>
      <c r="AD4">
        <f t="shared" si="2"/>
        <v>-21.230000000000018</v>
      </c>
      <c r="AF4" s="10">
        <f t="shared" si="4"/>
        <v>12</v>
      </c>
      <c r="AG4" s="10">
        <f t="shared" si="5"/>
        <v>-48</v>
      </c>
      <c r="AH4">
        <f t="shared" si="3"/>
        <v>49.477267507411923</v>
      </c>
    </row>
    <row r="5" spans="1:34" x14ac:dyDescent="0.3">
      <c r="A5">
        <v>4</v>
      </c>
      <c r="C5">
        <v>727</v>
      </c>
      <c r="D5">
        <v>314</v>
      </c>
      <c r="F5">
        <v>122.56</v>
      </c>
      <c r="G5">
        <v>-74.709999999999994</v>
      </c>
      <c r="H5">
        <v>833</v>
      </c>
      <c r="J5">
        <v>122</v>
      </c>
      <c r="K5">
        <v>-73</v>
      </c>
      <c r="L5">
        <v>833</v>
      </c>
      <c r="N5">
        <v>119.61</v>
      </c>
      <c r="O5">
        <v>-71.81</v>
      </c>
      <c r="P5">
        <v>816.53</v>
      </c>
      <c r="R5">
        <f t="shared" si="0"/>
        <v>828.36252275196512</v>
      </c>
      <c r="T5" s="4">
        <v>-95.23</v>
      </c>
      <c r="U5" s="4">
        <v>557.82000000000005</v>
      </c>
      <c r="V5" s="4">
        <v>50.65</v>
      </c>
      <c r="X5">
        <f t="shared" si="1"/>
        <v>-2.9500000000000028</v>
      </c>
      <c r="Y5">
        <f t="shared" si="1"/>
        <v>2.8999999999999915</v>
      </c>
      <c r="Z5" s="9">
        <f t="shared" si="1"/>
        <v>-16.470000000000027</v>
      </c>
      <c r="AB5">
        <f t="shared" si="2"/>
        <v>-2.3900000000000006</v>
      </c>
      <c r="AC5">
        <f t="shared" si="2"/>
        <v>1.1899999999999977</v>
      </c>
      <c r="AD5">
        <f t="shared" si="2"/>
        <v>-16.470000000000027</v>
      </c>
      <c r="AF5" s="10">
        <f t="shared" si="4"/>
        <v>87</v>
      </c>
      <c r="AG5" s="10">
        <f t="shared" si="5"/>
        <v>-46</v>
      </c>
      <c r="AH5">
        <f t="shared" si="3"/>
        <v>98.412397592986224</v>
      </c>
    </row>
    <row r="6" spans="1:34" x14ac:dyDescent="0.3">
      <c r="A6">
        <v>5</v>
      </c>
      <c r="C6">
        <v>804</v>
      </c>
      <c r="D6">
        <v>314</v>
      </c>
      <c r="F6">
        <v>225.94</v>
      </c>
      <c r="G6">
        <v>-74.540000000000006</v>
      </c>
      <c r="H6">
        <v>831</v>
      </c>
      <c r="J6">
        <v>225</v>
      </c>
      <c r="K6">
        <v>-73</v>
      </c>
      <c r="L6">
        <v>831</v>
      </c>
      <c r="N6">
        <v>219.43</v>
      </c>
      <c r="O6">
        <v>-69.290000000000006</v>
      </c>
      <c r="P6">
        <v>814.71</v>
      </c>
      <c r="R6">
        <f t="shared" si="0"/>
        <v>846.58314009906906</v>
      </c>
      <c r="T6" s="4">
        <v>-195.09</v>
      </c>
      <c r="U6" s="4">
        <v>558.78</v>
      </c>
      <c r="V6" s="4">
        <v>50.68</v>
      </c>
      <c r="X6">
        <f t="shared" si="1"/>
        <v>-6.5099999999999909</v>
      </c>
      <c r="Y6">
        <f t="shared" si="1"/>
        <v>5.25</v>
      </c>
      <c r="Z6" s="9">
        <f t="shared" si="1"/>
        <v>-16.289999999999964</v>
      </c>
      <c r="AB6">
        <f t="shared" si="2"/>
        <v>-5.5699999999999932</v>
      </c>
      <c r="AC6">
        <f t="shared" si="2"/>
        <v>3.7099999999999937</v>
      </c>
      <c r="AD6">
        <f t="shared" si="2"/>
        <v>-16.289999999999964</v>
      </c>
      <c r="AF6" s="10">
        <f t="shared" si="4"/>
        <v>164</v>
      </c>
      <c r="AG6" s="10">
        <f t="shared" si="5"/>
        <v>-46</v>
      </c>
      <c r="AH6">
        <f t="shared" si="3"/>
        <v>170.32909322837364</v>
      </c>
    </row>
    <row r="7" spans="1:34" x14ac:dyDescent="0.3">
      <c r="A7">
        <v>6</v>
      </c>
      <c r="C7" s="30">
        <v>490</v>
      </c>
      <c r="D7" s="30">
        <v>374</v>
      </c>
      <c r="F7">
        <v>-184.51</v>
      </c>
      <c r="G7">
        <v>6.16</v>
      </c>
      <c r="H7">
        <v>779</v>
      </c>
      <c r="J7">
        <v>-188</v>
      </c>
      <c r="K7">
        <v>8</v>
      </c>
      <c r="L7">
        <v>779</v>
      </c>
      <c r="N7">
        <v>-182.72</v>
      </c>
      <c r="O7">
        <v>3.99</v>
      </c>
      <c r="P7">
        <v>764.32</v>
      </c>
      <c r="R7">
        <f t="shared" si="0"/>
        <v>785.86740669148514</v>
      </c>
      <c r="T7" s="3">
        <v>205.06</v>
      </c>
      <c r="U7" s="3">
        <v>656.33</v>
      </c>
      <c r="V7" s="3">
        <v>49.46</v>
      </c>
      <c r="X7">
        <f t="shared" si="1"/>
        <v>1.789999999999992</v>
      </c>
      <c r="Y7">
        <f t="shared" si="1"/>
        <v>-2.17</v>
      </c>
      <c r="Z7" s="9">
        <f t="shared" si="1"/>
        <v>-14.67999999999995</v>
      </c>
      <c r="AB7">
        <f t="shared" si="2"/>
        <v>5.2800000000000011</v>
      </c>
      <c r="AC7">
        <f t="shared" si="2"/>
        <v>-4.01</v>
      </c>
      <c r="AD7">
        <f t="shared" si="2"/>
        <v>-14.67999999999995</v>
      </c>
      <c r="AF7" s="10">
        <f t="shared" si="4"/>
        <v>-150</v>
      </c>
      <c r="AG7" s="10">
        <f t="shared" si="5"/>
        <v>14</v>
      </c>
      <c r="AH7">
        <f t="shared" si="3"/>
        <v>150.65191668213185</v>
      </c>
    </row>
    <row r="8" spans="1:34" x14ac:dyDescent="0.3">
      <c r="A8">
        <v>7</v>
      </c>
      <c r="C8" s="30">
        <v>571</v>
      </c>
      <c r="D8" s="30">
        <v>374</v>
      </c>
      <c r="F8">
        <v>-82.38</v>
      </c>
      <c r="G8">
        <v>6.17</v>
      </c>
      <c r="H8">
        <v>780</v>
      </c>
      <c r="J8">
        <v>-85</v>
      </c>
      <c r="K8">
        <v>8</v>
      </c>
      <c r="L8">
        <v>780</v>
      </c>
      <c r="N8">
        <v>-80.83</v>
      </c>
      <c r="O8">
        <v>5.19</v>
      </c>
      <c r="P8">
        <v>763.63</v>
      </c>
      <c r="R8">
        <f t="shared" si="0"/>
        <v>767.91353803667243</v>
      </c>
      <c r="T8" s="3">
        <v>103.17</v>
      </c>
      <c r="U8" s="3">
        <v>655.52</v>
      </c>
      <c r="V8" s="3">
        <v>49.32</v>
      </c>
      <c r="X8">
        <f t="shared" si="1"/>
        <v>1.5499999999999972</v>
      </c>
      <c r="Y8">
        <f t="shared" si="1"/>
        <v>-0.97999999999999954</v>
      </c>
      <c r="Z8" s="9">
        <f t="shared" si="1"/>
        <v>-16.370000000000005</v>
      </c>
      <c r="AB8">
        <f t="shared" si="2"/>
        <v>4.1700000000000017</v>
      </c>
      <c r="AC8">
        <f t="shared" si="2"/>
        <v>-2.8099999999999996</v>
      </c>
      <c r="AD8">
        <f t="shared" si="2"/>
        <v>-16.370000000000005</v>
      </c>
      <c r="AF8" s="10">
        <f t="shared" si="4"/>
        <v>-69</v>
      </c>
      <c r="AG8" s="10">
        <f t="shared" si="5"/>
        <v>14</v>
      </c>
      <c r="AH8">
        <f t="shared" si="3"/>
        <v>70.405965656327737</v>
      </c>
    </row>
    <row r="9" spans="1:34" x14ac:dyDescent="0.3">
      <c r="A9">
        <v>8</v>
      </c>
      <c r="C9" s="30">
        <v>652</v>
      </c>
      <c r="D9" s="30">
        <v>375</v>
      </c>
      <c r="F9">
        <v>20.079999999999998</v>
      </c>
      <c r="G9">
        <v>7.48</v>
      </c>
      <c r="H9">
        <v>784</v>
      </c>
      <c r="J9">
        <v>19</v>
      </c>
      <c r="K9">
        <v>9</v>
      </c>
      <c r="L9">
        <v>784</v>
      </c>
      <c r="N9">
        <v>18.14</v>
      </c>
      <c r="O9">
        <v>7.56</v>
      </c>
      <c r="P9">
        <v>762</v>
      </c>
      <c r="R9">
        <f t="shared" si="0"/>
        <v>762.25337860845195</v>
      </c>
      <c r="T9" s="3">
        <v>4.1500000000000004</v>
      </c>
      <c r="U9" s="3">
        <v>656.27</v>
      </c>
      <c r="V9" s="3">
        <v>49.28</v>
      </c>
      <c r="X9">
        <f t="shared" si="1"/>
        <v>-1.9399999999999977</v>
      </c>
      <c r="Y9">
        <f t="shared" si="1"/>
        <v>7.9999999999999183E-2</v>
      </c>
      <c r="Z9" s="9">
        <f t="shared" si="1"/>
        <v>-22</v>
      </c>
      <c r="AB9">
        <f t="shared" si="2"/>
        <v>-0.85999999999999943</v>
      </c>
      <c r="AC9">
        <f t="shared" si="2"/>
        <v>-1.4400000000000004</v>
      </c>
      <c r="AD9">
        <f t="shared" si="2"/>
        <v>-22</v>
      </c>
      <c r="AF9" s="10">
        <f t="shared" si="4"/>
        <v>12</v>
      </c>
      <c r="AG9" s="10">
        <f t="shared" si="5"/>
        <v>15</v>
      </c>
      <c r="AH9">
        <f t="shared" si="3"/>
        <v>19.209372712298546</v>
      </c>
    </row>
    <row r="10" spans="1:34" x14ac:dyDescent="0.3">
      <c r="A10">
        <v>9</v>
      </c>
      <c r="C10" s="30">
        <v>734</v>
      </c>
      <c r="D10" s="30">
        <v>374</v>
      </c>
      <c r="F10">
        <v>123.29</v>
      </c>
      <c r="G10">
        <v>6.16</v>
      </c>
      <c r="H10">
        <v>778</v>
      </c>
      <c r="J10">
        <v>123</v>
      </c>
      <c r="K10">
        <v>8</v>
      </c>
      <c r="L10">
        <v>778</v>
      </c>
      <c r="N10">
        <v>117.85</v>
      </c>
      <c r="O10">
        <v>8.15</v>
      </c>
      <c r="P10">
        <v>760.81</v>
      </c>
      <c r="R10">
        <f t="shared" si="0"/>
        <v>769.9265556531999</v>
      </c>
      <c r="T10" s="3">
        <v>-95.56</v>
      </c>
      <c r="U10" s="3">
        <v>655.29999999999995</v>
      </c>
      <c r="V10" s="3">
        <v>49.9</v>
      </c>
      <c r="X10">
        <f t="shared" si="1"/>
        <v>-5.4400000000000119</v>
      </c>
      <c r="Y10">
        <f t="shared" si="1"/>
        <v>1.9900000000000002</v>
      </c>
      <c r="Z10" s="9">
        <f t="shared" si="1"/>
        <v>-17.190000000000055</v>
      </c>
      <c r="AB10">
        <f t="shared" si="2"/>
        <v>-5.1500000000000057</v>
      </c>
      <c r="AC10">
        <f t="shared" si="2"/>
        <v>0.15000000000000036</v>
      </c>
      <c r="AD10">
        <f t="shared" si="2"/>
        <v>-17.190000000000055</v>
      </c>
      <c r="AF10" s="10">
        <f t="shared" si="4"/>
        <v>94</v>
      </c>
      <c r="AG10" s="10">
        <f t="shared" si="5"/>
        <v>14</v>
      </c>
      <c r="AH10">
        <f t="shared" si="3"/>
        <v>95.036834964133774</v>
      </c>
    </row>
    <row r="11" spans="1:34" x14ac:dyDescent="0.3">
      <c r="A11">
        <v>10</v>
      </c>
      <c r="C11" s="30">
        <v>814</v>
      </c>
      <c r="D11" s="30">
        <v>376</v>
      </c>
      <c r="F11">
        <v>223.56</v>
      </c>
      <c r="G11">
        <v>8.67</v>
      </c>
      <c r="H11">
        <v>776</v>
      </c>
      <c r="J11">
        <v>223</v>
      </c>
      <c r="K11">
        <v>10</v>
      </c>
      <c r="L11">
        <v>776</v>
      </c>
      <c r="N11">
        <v>217.31</v>
      </c>
      <c r="O11">
        <v>10.76</v>
      </c>
      <c r="P11">
        <v>758.25</v>
      </c>
      <c r="R11">
        <f t="shared" si="0"/>
        <v>788.8488297513029</v>
      </c>
      <c r="T11" s="3">
        <v>-195.08</v>
      </c>
      <c r="U11" s="3">
        <v>656.77</v>
      </c>
      <c r="V11" s="3">
        <v>50.47</v>
      </c>
      <c r="X11">
        <f t="shared" si="1"/>
        <v>-6.25</v>
      </c>
      <c r="Y11">
        <f t="shared" si="1"/>
        <v>2.09</v>
      </c>
      <c r="Z11" s="9">
        <f t="shared" si="1"/>
        <v>-17.75</v>
      </c>
      <c r="AB11">
        <f t="shared" si="2"/>
        <v>-5.6899999999999977</v>
      </c>
      <c r="AC11">
        <f t="shared" si="2"/>
        <v>0.75999999999999979</v>
      </c>
      <c r="AD11">
        <f t="shared" si="2"/>
        <v>-17.75</v>
      </c>
      <c r="AF11" s="10">
        <f t="shared" si="4"/>
        <v>174</v>
      </c>
      <c r="AG11" s="10">
        <f t="shared" si="5"/>
        <v>16</v>
      </c>
      <c r="AH11">
        <f t="shared" si="3"/>
        <v>174.73408368146153</v>
      </c>
    </row>
    <row r="12" spans="1:34" x14ac:dyDescent="0.3">
      <c r="A12">
        <v>11</v>
      </c>
      <c r="C12">
        <v>476</v>
      </c>
      <c r="D12">
        <v>446</v>
      </c>
      <c r="F12">
        <v>-188.43</v>
      </c>
      <c r="G12">
        <v>90.79</v>
      </c>
      <c r="H12">
        <v>726</v>
      </c>
      <c r="J12">
        <v>-191</v>
      </c>
      <c r="K12">
        <v>92</v>
      </c>
      <c r="L12">
        <v>726</v>
      </c>
      <c r="N12">
        <v>-184.42</v>
      </c>
      <c r="O12">
        <v>86</v>
      </c>
      <c r="P12">
        <v>706.57</v>
      </c>
      <c r="R12">
        <f t="shared" si="0"/>
        <v>735.28763167892339</v>
      </c>
      <c r="T12" s="5">
        <v>204.61</v>
      </c>
      <c r="U12" s="5">
        <v>756.65</v>
      </c>
      <c r="V12" s="5">
        <v>49.18</v>
      </c>
      <c r="X12">
        <f t="shared" si="1"/>
        <v>4.0100000000000193</v>
      </c>
      <c r="Y12">
        <f t="shared" si="1"/>
        <v>-4.7900000000000063</v>
      </c>
      <c r="Z12" s="9">
        <f t="shared" si="1"/>
        <v>-19.42999999999995</v>
      </c>
      <c r="AB12">
        <f t="shared" si="2"/>
        <v>6.5800000000000125</v>
      </c>
      <c r="AC12">
        <f t="shared" si="2"/>
        <v>-6</v>
      </c>
      <c r="AD12">
        <f t="shared" si="2"/>
        <v>-19.42999999999995</v>
      </c>
      <c r="AF12" s="10">
        <f t="shared" si="4"/>
        <v>-164</v>
      </c>
      <c r="AG12" s="10">
        <f t="shared" si="5"/>
        <v>86</v>
      </c>
      <c r="AH12">
        <f t="shared" si="3"/>
        <v>185.18099254513137</v>
      </c>
    </row>
    <row r="13" spans="1:34" x14ac:dyDescent="0.3">
      <c r="A13">
        <v>12</v>
      </c>
      <c r="C13">
        <v>565</v>
      </c>
      <c r="D13">
        <v>448</v>
      </c>
      <c r="F13">
        <v>-83.62</v>
      </c>
      <c r="G13">
        <v>93.03</v>
      </c>
      <c r="H13">
        <v>725</v>
      </c>
      <c r="J13">
        <v>-86</v>
      </c>
      <c r="K13">
        <v>95</v>
      </c>
      <c r="L13">
        <v>725</v>
      </c>
      <c r="N13">
        <v>-82.6</v>
      </c>
      <c r="O13">
        <v>88.14</v>
      </c>
      <c r="P13">
        <v>705.3</v>
      </c>
      <c r="R13">
        <f t="shared" si="0"/>
        <v>715.56936043964311</v>
      </c>
      <c r="T13" s="5">
        <v>102.76</v>
      </c>
      <c r="U13" s="5">
        <v>756.94</v>
      </c>
      <c r="V13" s="5">
        <v>48.98</v>
      </c>
      <c r="X13">
        <f t="shared" si="1"/>
        <v>1.0200000000000102</v>
      </c>
      <c r="Y13">
        <f t="shared" si="1"/>
        <v>-4.8900000000000006</v>
      </c>
      <c r="Z13" s="9">
        <f t="shared" si="1"/>
        <v>-19.700000000000045</v>
      </c>
      <c r="AB13">
        <f t="shared" si="2"/>
        <v>3.4000000000000057</v>
      </c>
      <c r="AC13">
        <f t="shared" si="2"/>
        <v>-6.8599999999999994</v>
      </c>
      <c r="AD13">
        <f t="shared" si="2"/>
        <v>-19.700000000000045</v>
      </c>
      <c r="AF13" s="10">
        <f t="shared" si="4"/>
        <v>-75</v>
      </c>
      <c r="AG13" s="10">
        <f t="shared" si="5"/>
        <v>88</v>
      </c>
      <c r="AH13">
        <f t="shared" si="3"/>
        <v>115.62439189029277</v>
      </c>
    </row>
    <row r="14" spans="1:34" x14ac:dyDescent="0.3">
      <c r="A14">
        <v>13</v>
      </c>
      <c r="C14">
        <v>652</v>
      </c>
      <c r="D14">
        <v>448</v>
      </c>
      <c r="F14">
        <v>18.489999999999998</v>
      </c>
      <c r="G14">
        <v>92.64</v>
      </c>
      <c r="H14">
        <v>722</v>
      </c>
      <c r="J14">
        <v>17</v>
      </c>
      <c r="K14">
        <v>95</v>
      </c>
      <c r="L14">
        <v>722</v>
      </c>
      <c r="N14">
        <v>14.8</v>
      </c>
      <c r="O14">
        <v>89.49</v>
      </c>
      <c r="P14">
        <v>704.12</v>
      </c>
      <c r="R14">
        <f t="shared" si="0"/>
        <v>709.93835964821619</v>
      </c>
      <c r="T14" s="5">
        <v>5.33</v>
      </c>
      <c r="U14" s="5">
        <v>756.63</v>
      </c>
      <c r="V14" s="5">
        <v>49.15</v>
      </c>
      <c r="X14">
        <f t="shared" si="1"/>
        <v>-3.6899999999999977</v>
      </c>
      <c r="Y14">
        <f t="shared" si="1"/>
        <v>-3.1500000000000057</v>
      </c>
      <c r="Z14" s="9">
        <f t="shared" si="1"/>
        <v>-17.879999999999995</v>
      </c>
      <c r="AB14">
        <f t="shared" si="2"/>
        <v>-2.1999999999999993</v>
      </c>
      <c r="AC14">
        <f t="shared" si="2"/>
        <v>-5.5100000000000051</v>
      </c>
      <c r="AD14">
        <f t="shared" si="2"/>
        <v>-17.879999999999995</v>
      </c>
      <c r="AF14" s="10">
        <f t="shared" si="4"/>
        <v>12</v>
      </c>
      <c r="AG14" s="10">
        <f t="shared" si="5"/>
        <v>88</v>
      </c>
      <c r="AH14">
        <f t="shared" si="3"/>
        <v>88.814413244698073</v>
      </c>
    </row>
    <row r="15" spans="1:34" x14ac:dyDescent="0.3">
      <c r="A15">
        <v>14</v>
      </c>
      <c r="C15">
        <v>739</v>
      </c>
      <c r="D15">
        <v>449</v>
      </c>
      <c r="F15" s="7">
        <v>119.93</v>
      </c>
      <c r="G15">
        <v>93.56</v>
      </c>
      <c r="H15">
        <v>720</v>
      </c>
      <c r="J15">
        <v>119</v>
      </c>
      <c r="K15">
        <v>96</v>
      </c>
      <c r="L15">
        <v>720</v>
      </c>
      <c r="N15">
        <v>116</v>
      </c>
      <c r="O15">
        <v>91.52</v>
      </c>
      <c r="P15">
        <v>702.53</v>
      </c>
      <c r="R15">
        <f t="shared" si="0"/>
        <v>717.89993125783201</v>
      </c>
      <c r="T15" s="5">
        <v>-95.9</v>
      </c>
      <c r="U15" s="5">
        <v>757.03</v>
      </c>
      <c r="V15" s="5">
        <v>49.27</v>
      </c>
      <c r="X15">
        <f t="shared" si="1"/>
        <v>-3.9300000000000068</v>
      </c>
      <c r="Y15">
        <f t="shared" si="1"/>
        <v>-2.0400000000000063</v>
      </c>
      <c r="Z15" s="9">
        <f t="shared" si="1"/>
        <v>-17.470000000000027</v>
      </c>
      <c r="AB15">
        <f t="shared" si="2"/>
        <v>-3</v>
      </c>
      <c r="AC15">
        <f t="shared" si="2"/>
        <v>-4.480000000000004</v>
      </c>
      <c r="AD15">
        <f t="shared" si="2"/>
        <v>-17.470000000000027</v>
      </c>
      <c r="AF15" s="10">
        <f t="shared" si="4"/>
        <v>99</v>
      </c>
      <c r="AG15" s="10">
        <f t="shared" si="5"/>
        <v>89</v>
      </c>
      <c r="AH15">
        <f t="shared" si="3"/>
        <v>133.12400234367956</v>
      </c>
    </row>
    <row r="16" spans="1:34" x14ac:dyDescent="0.3">
      <c r="A16">
        <v>15</v>
      </c>
      <c r="C16">
        <v>829</v>
      </c>
      <c r="D16">
        <v>450</v>
      </c>
      <c r="F16">
        <v>223.98</v>
      </c>
      <c r="G16">
        <v>94.33</v>
      </c>
      <c r="H16">
        <v>717</v>
      </c>
      <c r="J16">
        <v>223</v>
      </c>
      <c r="K16">
        <v>96</v>
      </c>
      <c r="L16">
        <v>717</v>
      </c>
      <c r="N16">
        <v>214.29</v>
      </c>
      <c r="O16">
        <v>93.12</v>
      </c>
      <c r="P16">
        <v>700.39</v>
      </c>
      <c r="R16">
        <f t="shared" si="0"/>
        <v>738.33440296386027</v>
      </c>
      <c r="T16" s="5">
        <v>-194.22</v>
      </c>
      <c r="U16" s="5">
        <v>757.46</v>
      </c>
      <c r="V16" s="5">
        <v>50.08</v>
      </c>
      <c r="X16">
        <f t="shared" si="1"/>
        <v>-9.6899999999999977</v>
      </c>
      <c r="Y16">
        <f t="shared" si="1"/>
        <v>-1.2099999999999937</v>
      </c>
      <c r="Z16" s="9">
        <f t="shared" si="1"/>
        <v>-16.610000000000014</v>
      </c>
      <c r="AB16">
        <f t="shared" si="2"/>
        <v>-8.710000000000008</v>
      </c>
      <c r="AC16">
        <f t="shared" si="2"/>
        <v>-2.8799999999999955</v>
      </c>
      <c r="AD16">
        <f t="shared" si="2"/>
        <v>-16.610000000000014</v>
      </c>
      <c r="AF16" s="10">
        <f t="shared" si="4"/>
        <v>189</v>
      </c>
      <c r="AG16" s="10">
        <f t="shared" si="5"/>
        <v>90</v>
      </c>
      <c r="AH16">
        <f t="shared" si="3"/>
        <v>209.33466029303412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selection activeCell="Z2" sqref="Z2:Z16"/>
    </sheetView>
  </sheetViews>
  <sheetFormatPr baseColWidth="10" defaultColWidth="8.88671875" defaultRowHeight="14.4" x14ac:dyDescent="0.3"/>
  <cols>
    <col min="19" max="19" width="23.33203125" customWidth="1"/>
  </cols>
  <sheetData>
    <row r="1" spans="1:34" x14ac:dyDescent="0.3">
      <c r="A1" s="11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500</v>
      </c>
      <c r="D2">
        <v>312</v>
      </c>
      <c r="F2">
        <v>-187.34</v>
      </c>
      <c r="G2">
        <v>-78.91</v>
      </c>
      <c r="H2">
        <v>849</v>
      </c>
      <c r="J2">
        <v>-191</v>
      </c>
      <c r="K2">
        <v>-77</v>
      </c>
      <c r="L2">
        <v>849</v>
      </c>
      <c r="N2">
        <v>-180.53</v>
      </c>
      <c r="O2">
        <v>-76.739999999999995</v>
      </c>
      <c r="P2">
        <v>820.58</v>
      </c>
      <c r="R2">
        <f t="shared" ref="R2:R16" si="0" xml:space="preserve"> (N2^2+O2^2+P2^2)^0.5</f>
        <v>843.7011585271174</v>
      </c>
      <c r="T2" s="4">
        <v>204.99</v>
      </c>
      <c r="U2" s="4">
        <v>557.91</v>
      </c>
      <c r="V2" s="4">
        <v>50.22</v>
      </c>
      <c r="X2">
        <f t="shared" ref="X2:Z16" si="1">N2-F2</f>
        <v>6.8100000000000023</v>
      </c>
      <c r="Y2">
        <f t="shared" si="1"/>
        <v>2.1700000000000017</v>
      </c>
      <c r="Z2" s="9">
        <f t="shared" si="1"/>
        <v>-28.419999999999959</v>
      </c>
      <c r="AB2">
        <f t="shared" ref="AB2:AD16" si="2">N2-J2</f>
        <v>10.469999999999999</v>
      </c>
      <c r="AC2">
        <f t="shared" si="2"/>
        <v>0.26000000000000512</v>
      </c>
      <c r="AD2">
        <f t="shared" si="2"/>
        <v>-28.419999999999959</v>
      </c>
      <c r="AF2" s="10">
        <f>C2-640</f>
        <v>-140</v>
      </c>
      <c r="AG2" s="10">
        <f>D2-360</f>
        <v>-48</v>
      </c>
      <c r="AH2">
        <f t="shared" ref="AH2:AH16" si="3">((C2-640)^2+(D2-360)^2)^0.5</f>
        <v>148</v>
      </c>
    </row>
    <row r="3" spans="1:34" x14ac:dyDescent="0.3">
      <c r="A3">
        <v>2</v>
      </c>
      <c r="C3">
        <v>576</v>
      </c>
      <c r="D3">
        <v>312</v>
      </c>
      <c r="F3">
        <v>-82.6</v>
      </c>
      <c r="G3">
        <v>-78.73</v>
      </c>
      <c r="H3">
        <v>847</v>
      </c>
      <c r="J3">
        <v>-85</v>
      </c>
      <c r="K3">
        <v>-78</v>
      </c>
      <c r="L3">
        <v>847</v>
      </c>
      <c r="N3">
        <v>-79.44</v>
      </c>
      <c r="O3">
        <v>-75.48</v>
      </c>
      <c r="P3">
        <v>820.43</v>
      </c>
      <c r="R3">
        <f t="shared" si="0"/>
        <v>827.71572952312556</v>
      </c>
      <c r="T3" s="4">
        <v>103.9</v>
      </c>
      <c r="U3" s="4">
        <v>556.85</v>
      </c>
      <c r="V3" s="4">
        <v>49.61</v>
      </c>
      <c r="X3">
        <f t="shared" si="1"/>
        <v>3.1599999999999966</v>
      </c>
      <c r="Y3">
        <f t="shared" si="1"/>
        <v>3.25</v>
      </c>
      <c r="Z3" s="9">
        <f t="shared" si="1"/>
        <v>-26.57000000000005</v>
      </c>
      <c r="AB3">
        <f t="shared" si="2"/>
        <v>5.5600000000000023</v>
      </c>
      <c r="AC3">
        <f t="shared" si="2"/>
        <v>2.519999999999996</v>
      </c>
      <c r="AD3">
        <f t="shared" si="2"/>
        <v>-26.57000000000005</v>
      </c>
      <c r="AF3" s="10">
        <f t="shared" ref="AF3:AF16" si="4">C3-640</f>
        <v>-64</v>
      </c>
      <c r="AG3" s="10">
        <f t="shared" ref="AG3:AG16" si="5">D3-360</f>
        <v>-48</v>
      </c>
      <c r="AH3">
        <f t="shared" si="3"/>
        <v>80</v>
      </c>
    </row>
    <row r="4" spans="1:34" x14ac:dyDescent="0.3">
      <c r="A4">
        <v>3</v>
      </c>
      <c r="C4">
        <v>651</v>
      </c>
      <c r="D4">
        <v>313</v>
      </c>
      <c r="F4">
        <v>21.69</v>
      </c>
      <c r="G4">
        <v>-77.349999999999994</v>
      </c>
      <c r="H4">
        <v>847</v>
      </c>
      <c r="J4">
        <v>20</v>
      </c>
      <c r="K4">
        <v>-76</v>
      </c>
      <c r="L4">
        <v>847</v>
      </c>
      <c r="N4">
        <v>20.100000000000001</v>
      </c>
      <c r="O4">
        <v>-73.41</v>
      </c>
      <c r="P4">
        <v>818.18</v>
      </c>
      <c r="R4">
        <f t="shared" si="0"/>
        <v>821.71257170618969</v>
      </c>
      <c r="T4" s="4">
        <v>4.3099999999999996</v>
      </c>
      <c r="U4" s="4">
        <v>557.70000000000005</v>
      </c>
      <c r="V4" s="4">
        <v>50.24</v>
      </c>
      <c r="X4">
        <f t="shared" si="1"/>
        <v>-1.5899999999999999</v>
      </c>
      <c r="Y4">
        <f t="shared" si="1"/>
        <v>3.9399999999999977</v>
      </c>
      <c r="Z4" s="9">
        <f t="shared" si="1"/>
        <v>-28.82000000000005</v>
      </c>
      <c r="AB4">
        <f t="shared" si="2"/>
        <v>0.10000000000000142</v>
      </c>
      <c r="AC4">
        <f t="shared" si="2"/>
        <v>2.5900000000000034</v>
      </c>
      <c r="AD4">
        <f t="shared" si="2"/>
        <v>-28.82000000000005</v>
      </c>
      <c r="AF4" s="10">
        <f t="shared" si="4"/>
        <v>11</v>
      </c>
      <c r="AG4" s="10">
        <f t="shared" si="5"/>
        <v>-47</v>
      </c>
      <c r="AH4">
        <f t="shared" si="3"/>
        <v>48.270073544588683</v>
      </c>
    </row>
    <row r="5" spans="1:34" x14ac:dyDescent="0.3">
      <c r="A5">
        <v>4</v>
      </c>
      <c r="C5">
        <v>727</v>
      </c>
      <c r="D5">
        <v>314</v>
      </c>
      <c r="F5">
        <v>124.18</v>
      </c>
      <c r="G5">
        <v>-75.7</v>
      </c>
      <c r="H5">
        <v>844</v>
      </c>
      <c r="J5">
        <v>124</v>
      </c>
      <c r="K5">
        <v>-74</v>
      </c>
      <c r="L5">
        <v>844</v>
      </c>
      <c r="N5">
        <v>120.04</v>
      </c>
      <c r="O5">
        <v>-71.86</v>
      </c>
      <c r="P5">
        <v>815.89</v>
      </c>
      <c r="R5">
        <f t="shared" si="0"/>
        <v>827.79825640067645</v>
      </c>
      <c r="T5" s="4">
        <v>-95.66</v>
      </c>
      <c r="U5" s="4">
        <v>558.14</v>
      </c>
      <c r="V5" s="4">
        <v>51.2</v>
      </c>
      <c r="X5">
        <f t="shared" si="1"/>
        <v>-4.1400000000000006</v>
      </c>
      <c r="Y5">
        <f t="shared" si="1"/>
        <v>3.8400000000000034</v>
      </c>
      <c r="Z5" s="9">
        <f t="shared" si="1"/>
        <v>-28.110000000000014</v>
      </c>
      <c r="AB5">
        <f t="shared" si="2"/>
        <v>-3.9599999999999937</v>
      </c>
      <c r="AC5">
        <f t="shared" si="2"/>
        <v>2.1400000000000006</v>
      </c>
      <c r="AD5">
        <f t="shared" si="2"/>
        <v>-28.110000000000014</v>
      </c>
      <c r="AF5" s="10">
        <f t="shared" si="4"/>
        <v>87</v>
      </c>
      <c r="AG5" s="10">
        <f t="shared" si="5"/>
        <v>-46</v>
      </c>
      <c r="AH5">
        <f t="shared" si="3"/>
        <v>98.412397592986224</v>
      </c>
    </row>
    <row r="6" spans="1:34" x14ac:dyDescent="0.3">
      <c r="A6">
        <v>5</v>
      </c>
      <c r="C6">
        <v>804</v>
      </c>
      <c r="D6">
        <v>313</v>
      </c>
      <c r="F6">
        <v>228.66</v>
      </c>
      <c r="G6">
        <v>-76.8</v>
      </c>
      <c r="H6">
        <v>841</v>
      </c>
      <c r="J6">
        <v>228</v>
      </c>
      <c r="K6">
        <v>-75</v>
      </c>
      <c r="L6">
        <v>841</v>
      </c>
      <c r="N6">
        <v>220.41</v>
      </c>
      <c r="O6">
        <v>-70.55</v>
      </c>
      <c r="P6">
        <v>814.75</v>
      </c>
      <c r="R6">
        <f t="shared" si="0"/>
        <v>846.98018459701882</v>
      </c>
      <c r="T6" s="4">
        <v>-196.05</v>
      </c>
      <c r="U6" s="4">
        <v>557.71</v>
      </c>
      <c r="V6" s="4">
        <v>51.37</v>
      </c>
      <c r="X6">
        <f t="shared" si="1"/>
        <v>-8.25</v>
      </c>
      <c r="Y6">
        <f t="shared" si="1"/>
        <v>6.25</v>
      </c>
      <c r="Z6" s="9">
        <f t="shared" si="1"/>
        <v>-26.25</v>
      </c>
      <c r="AB6">
        <f t="shared" si="2"/>
        <v>-7.5900000000000034</v>
      </c>
      <c r="AC6">
        <f t="shared" si="2"/>
        <v>4.4500000000000028</v>
      </c>
      <c r="AD6">
        <f t="shared" si="2"/>
        <v>-26.25</v>
      </c>
      <c r="AF6" s="10">
        <f t="shared" si="4"/>
        <v>164</v>
      </c>
      <c r="AG6" s="10">
        <f t="shared" si="5"/>
        <v>-47</v>
      </c>
      <c r="AH6">
        <f t="shared" si="3"/>
        <v>170.60187572239644</v>
      </c>
    </row>
    <row r="7" spans="1:34" x14ac:dyDescent="0.3">
      <c r="A7">
        <v>6</v>
      </c>
      <c r="C7">
        <v>489</v>
      </c>
      <c r="D7">
        <v>374</v>
      </c>
      <c r="F7">
        <v>-188.64</v>
      </c>
      <c r="G7">
        <v>6.26</v>
      </c>
      <c r="H7">
        <v>791</v>
      </c>
      <c r="J7">
        <v>-192</v>
      </c>
      <c r="K7">
        <v>8</v>
      </c>
      <c r="L7">
        <v>791</v>
      </c>
      <c r="N7">
        <v>-182.82</v>
      </c>
      <c r="O7">
        <v>4.09</v>
      </c>
      <c r="P7">
        <v>764.24</v>
      </c>
      <c r="R7">
        <f t="shared" si="0"/>
        <v>785.81337358179394</v>
      </c>
      <c r="T7" s="3">
        <v>205.16</v>
      </c>
      <c r="U7" s="3">
        <v>656.47</v>
      </c>
      <c r="V7" s="3">
        <v>49.47</v>
      </c>
      <c r="X7">
        <f t="shared" si="1"/>
        <v>5.8199999999999932</v>
      </c>
      <c r="Y7">
        <f t="shared" si="1"/>
        <v>-2.17</v>
      </c>
      <c r="Z7" s="9">
        <f t="shared" si="1"/>
        <v>-26.759999999999991</v>
      </c>
      <c r="AB7">
        <f t="shared" si="2"/>
        <v>9.1800000000000068</v>
      </c>
      <c r="AC7">
        <f t="shared" si="2"/>
        <v>-3.91</v>
      </c>
      <c r="AD7">
        <f t="shared" si="2"/>
        <v>-26.759999999999991</v>
      </c>
      <c r="AF7" s="10">
        <f t="shared" si="4"/>
        <v>-151</v>
      </c>
      <c r="AG7" s="10">
        <f t="shared" si="5"/>
        <v>14</v>
      </c>
      <c r="AH7">
        <f t="shared" si="3"/>
        <v>151.64761785138597</v>
      </c>
    </row>
    <row r="8" spans="1:34" x14ac:dyDescent="0.3">
      <c r="A8">
        <v>7</v>
      </c>
      <c r="C8">
        <v>571</v>
      </c>
      <c r="D8">
        <v>374</v>
      </c>
      <c r="F8">
        <v>-83.33</v>
      </c>
      <c r="G8">
        <v>6.24</v>
      </c>
      <c r="H8">
        <v>789</v>
      </c>
      <c r="J8">
        <v>-86</v>
      </c>
      <c r="K8">
        <v>8</v>
      </c>
      <c r="L8">
        <v>789</v>
      </c>
      <c r="N8">
        <v>-81.760000000000005</v>
      </c>
      <c r="O8">
        <v>5.24</v>
      </c>
      <c r="P8">
        <v>763.01</v>
      </c>
      <c r="R8">
        <f t="shared" si="0"/>
        <v>767.39586609519858</v>
      </c>
      <c r="T8" s="3">
        <v>104.09</v>
      </c>
      <c r="U8" s="3">
        <v>655.94</v>
      </c>
      <c r="V8" s="3">
        <v>49.8</v>
      </c>
      <c r="X8">
        <f t="shared" si="1"/>
        <v>1.5699999999999932</v>
      </c>
      <c r="Y8">
        <f t="shared" si="1"/>
        <v>-1</v>
      </c>
      <c r="Z8" s="9">
        <f t="shared" si="1"/>
        <v>-25.990000000000009</v>
      </c>
      <c r="AB8">
        <f t="shared" si="2"/>
        <v>4.2399999999999949</v>
      </c>
      <c r="AC8">
        <f t="shared" si="2"/>
        <v>-2.76</v>
      </c>
      <c r="AD8">
        <f t="shared" si="2"/>
        <v>-25.990000000000009</v>
      </c>
      <c r="AF8" s="10">
        <f t="shared" si="4"/>
        <v>-69</v>
      </c>
      <c r="AG8" s="10">
        <f t="shared" si="5"/>
        <v>14</v>
      </c>
      <c r="AH8">
        <f t="shared" si="3"/>
        <v>70.405965656327737</v>
      </c>
    </row>
    <row r="9" spans="1:34" x14ac:dyDescent="0.3">
      <c r="A9">
        <v>8</v>
      </c>
      <c r="C9">
        <v>652</v>
      </c>
      <c r="D9">
        <v>375</v>
      </c>
      <c r="F9">
        <v>20.260000000000002</v>
      </c>
      <c r="G9">
        <v>7.55</v>
      </c>
      <c r="H9">
        <v>791</v>
      </c>
      <c r="J9">
        <v>19</v>
      </c>
      <c r="K9">
        <v>9</v>
      </c>
      <c r="L9">
        <v>791</v>
      </c>
      <c r="N9">
        <v>18.489999999999998</v>
      </c>
      <c r="O9">
        <v>6.65</v>
      </c>
      <c r="P9">
        <v>761.8</v>
      </c>
      <c r="R9">
        <f t="shared" si="0"/>
        <v>762.05337254027017</v>
      </c>
      <c r="T9" s="3">
        <v>3.81</v>
      </c>
      <c r="U9" s="3">
        <v>655.64</v>
      </c>
      <c r="V9" s="3">
        <v>49.97</v>
      </c>
      <c r="X9">
        <f t="shared" si="1"/>
        <v>-1.7700000000000031</v>
      </c>
      <c r="Y9">
        <f t="shared" si="1"/>
        <v>-0.89999999999999947</v>
      </c>
      <c r="Z9" s="9">
        <f t="shared" si="1"/>
        <v>-29.200000000000045</v>
      </c>
      <c r="AB9">
        <f t="shared" si="2"/>
        <v>-0.51000000000000156</v>
      </c>
      <c r="AC9">
        <f t="shared" si="2"/>
        <v>-2.3499999999999996</v>
      </c>
      <c r="AD9">
        <f t="shared" si="2"/>
        <v>-29.200000000000045</v>
      </c>
      <c r="AF9" s="10">
        <f t="shared" si="4"/>
        <v>12</v>
      </c>
      <c r="AG9" s="10">
        <f t="shared" si="5"/>
        <v>15</v>
      </c>
      <c r="AH9">
        <f t="shared" si="3"/>
        <v>19.209372712298546</v>
      </c>
    </row>
    <row r="10" spans="1:34" x14ac:dyDescent="0.3">
      <c r="A10">
        <v>9</v>
      </c>
      <c r="C10">
        <v>733</v>
      </c>
      <c r="D10">
        <v>375</v>
      </c>
      <c r="F10">
        <v>123.75</v>
      </c>
      <c r="G10">
        <v>7.53</v>
      </c>
      <c r="H10">
        <v>789</v>
      </c>
      <c r="J10">
        <v>123</v>
      </c>
      <c r="K10">
        <v>9</v>
      </c>
      <c r="L10">
        <v>789</v>
      </c>
      <c r="N10">
        <v>118.08</v>
      </c>
      <c r="O10">
        <v>8.0399999999999991</v>
      </c>
      <c r="P10">
        <v>760.43</v>
      </c>
      <c r="R10">
        <f t="shared" si="0"/>
        <v>769.58515636672723</v>
      </c>
      <c r="T10" s="3">
        <v>-95.79</v>
      </c>
      <c r="U10" s="3">
        <v>655.42</v>
      </c>
      <c r="V10" s="3">
        <v>50.27</v>
      </c>
      <c r="X10">
        <f t="shared" si="1"/>
        <v>-5.6700000000000017</v>
      </c>
      <c r="Y10">
        <f t="shared" si="1"/>
        <v>0.5099999999999989</v>
      </c>
      <c r="Z10" s="9">
        <f t="shared" si="1"/>
        <v>-28.57000000000005</v>
      </c>
      <c r="AB10">
        <f t="shared" si="2"/>
        <v>-4.9200000000000017</v>
      </c>
      <c r="AC10">
        <f t="shared" si="2"/>
        <v>-0.96000000000000085</v>
      </c>
      <c r="AD10">
        <f t="shared" si="2"/>
        <v>-28.57000000000005</v>
      </c>
      <c r="AF10" s="10">
        <f t="shared" si="4"/>
        <v>93</v>
      </c>
      <c r="AG10" s="10">
        <f t="shared" si="5"/>
        <v>15</v>
      </c>
      <c r="AH10">
        <f t="shared" si="3"/>
        <v>94.201910808645493</v>
      </c>
    </row>
    <row r="11" spans="1:34" x14ac:dyDescent="0.3">
      <c r="A11">
        <v>10</v>
      </c>
      <c r="C11">
        <v>815</v>
      </c>
      <c r="D11">
        <v>376</v>
      </c>
      <c r="F11">
        <v>227.42</v>
      </c>
      <c r="G11">
        <v>8.77</v>
      </c>
      <c r="H11">
        <v>785</v>
      </c>
      <c r="J11">
        <v>227</v>
      </c>
      <c r="K11">
        <v>10</v>
      </c>
      <c r="L11">
        <v>785</v>
      </c>
      <c r="N11">
        <v>217.08</v>
      </c>
      <c r="O11">
        <v>10.119999999999999</v>
      </c>
      <c r="P11">
        <v>758.5</v>
      </c>
      <c r="R11">
        <f t="shared" si="0"/>
        <v>789.01735773048745</v>
      </c>
      <c r="T11" s="3">
        <v>-194.83</v>
      </c>
      <c r="U11" s="3">
        <v>656.11</v>
      </c>
      <c r="V11" s="3">
        <v>50.64</v>
      </c>
      <c r="X11">
        <f t="shared" si="1"/>
        <v>-10.339999999999975</v>
      </c>
      <c r="Y11">
        <f t="shared" si="1"/>
        <v>1.3499999999999996</v>
      </c>
      <c r="Z11" s="9">
        <f t="shared" si="1"/>
        <v>-26.5</v>
      </c>
      <c r="AB11">
        <f t="shared" si="2"/>
        <v>-9.9199999999999875</v>
      </c>
      <c r="AC11">
        <f t="shared" si="2"/>
        <v>0.11999999999999922</v>
      </c>
      <c r="AD11">
        <f t="shared" si="2"/>
        <v>-26.5</v>
      </c>
      <c r="AF11" s="10">
        <f t="shared" si="4"/>
        <v>175</v>
      </c>
      <c r="AG11" s="10">
        <f t="shared" si="5"/>
        <v>16</v>
      </c>
      <c r="AH11">
        <f t="shared" si="3"/>
        <v>175.72990639046048</v>
      </c>
    </row>
    <row r="12" spans="1:34" x14ac:dyDescent="0.3">
      <c r="A12">
        <v>11</v>
      </c>
      <c r="C12">
        <v>475</v>
      </c>
      <c r="D12">
        <v>447</v>
      </c>
      <c r="F12">
        <v>-191.43</v>
      </c>
      <c r="G12">
        <v>92.86</v>
      </c>
      <c r="H12">
        <v>733</v>
      </c>
      <c r="J12">
        <v>-194</v>
      </c>
      <c r="K12">
        <v>94</v>
      </c>
      <c r="L12">
        <v>733</v>
      </c>
      <c r="N12">
        <v>-184.63</v>
      </c>
      <c r="O12">
        <v>86.57</v>
      </c>
      <c r="P12">
        <v>706.98</v>
      </c>
      <c r="R12">
        <f t="shared" si="0"/>
        <v>735.8011431086527</v>
      </c>
      <c r="T12" s="5">
        <v>204.81</v>
      </c>
      <c r="U12" s="5">
        <v>756.88</v>
      </c>
      <c r="V12" s="5">
        <v>48.52</v>
      </c>
      <c r="X12">
        <f t="shared" si="1"/>
        <v>6.8000000000000114</v>
      </c>
      <c r="Y12">
        <f t="shared" si="1"/>
        <v>-6.2900000000000063</v>
      </c>
      <c r="Z12" s="9">
        <f t="shared" si="1"/>
        <v>-26.019999999999982</v>
      </c>
      <c r="AB12">
        <f t="shared" si="2"/>
        <v>9.3700000000000045</v>
      </c>
      <c r="AC12">
        <f t="shared" si="2"/>
        <v>-7.4300000000000068</v>
      </c>
      <c r="AD12">
        <f t="shared" si="2"/>
        <v>-26.019999999999982</v>
      </c>
      <c r="AF12" s="10">
        <f t="shared" si="4"/>
        <v>-165</v>
      </c>
      <c r="AG12" s="10">
        <f t="shared" si="5"/>
        <v>87</v>
      </c>
      <c r="AH12">
        <f t="shared" si="3"/>
        <v>186.53149868051776</v>
      </c>
    </row>
    <row r="13" spans="1:34" x14ac:dyDescent="0.3">
      <c r="A13">
        <v>12</v>
      </c>
      <c r="C13">
        <v>566</v>
      </c>
      <c r="D13">
        <v>447</v>
      </c>
      <c r="F13">
        <v>-83.47</v>
      </c>
      <c r="G13">
        <v>92.99</v>
      </c>
      <c r="H13">
        <v>734</v>
      </c>
      <c r="J13">
        <v>-86</v>
      </c>
      <c r="K13">
        <v>95</v>
      </c>
      <c r="L13">
        <v>734</v>
      </c>
      <c r="N13">
        <v>-81.75</v>
      </c>
      <c r="O13">
        <v>87.59</v>
      </c>
      <c r="P13">
        <v>705.5</v>
      </c>
      <c r="R13">
        <f t="shared" si="0"/>
        <v>715.60136989807393</v>
      </c>
      <c r="T13" s="5">
        <v>101.92</v>
      </c>
      <c r="U13" s="5">
        <v>756.36</v>
      </c>
      <c r="V13" s="5">
        <v>49.13</v>
      </c>
      <c r="X13">
        <f t="shared" si="1"/>
        <v>1.7199999999999989</v>
      </c>
      <c r="Y13">
        <f t="shared" si="1"/>
        <v>-5.3999999999999915</v>
      </c>
      <c r="Z13" s="9">
        <f t="shared" si="1"/>
        <v>-28.5</v>
      </c>
      <c r="AB13">
        <f t="shared" si="2"/>
        <v>4.25</v>
      </c>
      <c r="AC13">
        <f t="shared" si="2"/>
        <v>-7.4099999999999966</v>
      </c>
      <c r="AD13">
        <f t="shared" si="2"/>
        <v>-28.5</v>
      </c>
      <c r="AF13" s="10">
        <f t="shared" si="4"/>
        <v>-74</v>
      </c>
      <c r="AG13" s="10">
        <f t="shared" si="5"/>
        <v>87</v>
      </c>
      <c r="AH13">
        <f t="shared" si="3"/>
        <v>114.21471008587291</v>
      </c>
    </row>
    <row r="14" spans="1:34" x14ac:dyDescent="0.3">
      <c r="A14">
        <v>13</v>
      </c>
      <c r="C14">
        <v>651</v>
      </c>
      <c r="D14">
        <v>448</v>
      </c>
      <c r="F14">
        <v>17.559999999999999</v>
      </c>
      <c r="G14">
        <v>93.92</v>
      </c>
      <c r="H14">
        <v>732</v>
      </c>
      <c r="J14">
        <v>16</v>
      </c>
      <c r="K14">
        <v>96</v>
      </c>
      <c r="L14">
        <v>732</v>
      </c>
      <c r="N14">
        <v>15.91</v>
      </c>
      <c r="O14">
        <v>89.58</v>
      </c>
      <c r="P14">
        <v>703.98</v>
      </c>
      <c r="R14">
        <f t="shared" si="0"/>
        <v>709.83487157225522</v>
      </c>
      <c r="T14" s="5">
        <v>4.22</v>
      </c>
      <c r="U14" s="5">
        <v>756.76</v>
      </c>
      <c r="V14" s="5">
        <v>49.22</v>
      </c>
      <c r="X14">
        <f t="shared" si="1"/>
        <v>-1.6499999999999986</v>
      </c>
      <c r="Y14">
        <f t="shared" si="1"/>
        <v>-4.3400000000000034</v>
      </c>
      <c r="Z14" s="9">
        <f t="shared" si="1"/>
        <v>-28.019999999999982</v>
      </c>
      <c r="AB14">
        <f t="shared" si="2"/>
        <v>-8.9999999999999858E-2</v>
      </c>
      <c r="AC14">
        <f t="shared" si="2"/>
        <v>-6.4200000000000017</v>
      </c>
      <c r="AD14">
        <f t="shared" si="2"/>
        <v>-28.019999999999982</v>
      </c>
      <c r="AF14" s="10">
        <f t="shared" si="4"/>
        <v>11</v>
      </c>
      <c r="AG14" s="10">
        <f t="shared" si="5"/>
        <v>88</v>
      </c>
      <c r="AH14">
        <f t="shared" si="3"/>
        <v>88.68483523128404</v>
      </c>
    </row>
    <row r="15" spans="1:34" x14ac:dyDescent="0.3">
      <c r="A15">
        <v>14</v>
      </c>
      <c r="C15">
        <v>740</v>
      </c>
      <c r="D15">
        <v>449</v>
      </c>
      <c r="F15" s="7">
        <v>122.44</v>
      </c>
      <c r="G15">
        <v>94.59</v>
      </c>
      <c r="H15">
        <v>728</v>
      </c>
      <c r="J15">
        <v>122</v>
      </c>
      <c r="K15">
        <v>97</v>
      </c>
      <c r="L15">
        <v>728</v>
      </c>
      <c r="N15">
        <v>116.35</v>
      </c>
      <c r="O15">
        <v>91.46</v>
      </c>
      <c r="P15">
        <v>702.56</v>
      </c>
      <c r="R15">
        <f t="shared" si="0"/>
        <v>717.97827801403571</v>
      </c>
      <c r="T15" s="5">
        <v>-96.25</v>
      </c>
      <c r="U15" s="5">
        <v>756.96</v>
      </c>
      <c r="V15" s="5">
        <v>49.28</v>
      </c>
      <c r="X15">
        <f t="shared" si="1"/>
        <v>-6.0900000000000034</v>
      </c>
      <c r="Y15">
        <f t="shared" si="1"/>
        <v>-3.1300000000000097</v>
      </c>
      <c r="Z15" s="9">
        <f t="shared" si="1"/>
        <v>-25.440000000000055</v>
      </c>
      <c r="AB15">
        <f t="shared" si="2"/>
        <v>-5.6500000000000057</v>
      </c>
      <c r="AC15">
        <f t="shared" si="2"/>
        <v>-5.5400000000000063</v>
      </c>
      <c r="AD15">
        <f t="shared" si="2"/>
        <v>-25.440000000000055</v>
      </c>
      <c r="AF15" s="10">
        <f t="shared" si="4"/>
        <v>100</v>
      </c>
      <c r="AG15" s="10">
        <f t="shared" si="5"/>
        <v>89</v>
      </c>
      <c r="AH15">
        <f t="shared" si="3"/>
        <v>133.86933928274988</v>
      </c>
    </row>
    <row r="16" spans="1:34" x14ac:dyDescent="0.3">
      <c r="A16">
        <v>15</v>
      </c>
      <c r="C16">
        <v>829</v>
      </c>
      <c r="D16">
        <v>450</v>
      </c>
      <c r="F16">
        <v>227.42</v>
      </c>
      <c r="G16">
        <v>95.78</v>
      </c>
      <c r="H16">
        <v>728</v>
      </c>
      <c r="J16">
        <v>226</v>
      </c>
      <c r="K16">
        <v>97</v>
      </c>
      <c r="L16">
        <v>728</v>
      </c>
      <c r="N16">
        <v>215.64</v>
      </c>
      <c r="O16">
        <v>93.01</v>
      </c>
      <c r="P16">
        <v>700.17</v>
      </c>
      <c r="R16">
        <f t="shared" si="0"/>
        <v>738.50490763433652</v>
      </c>
      <c r="T16" s="5">
        <v>-195.57</v>
      </c>
      <c r="U16" s="5">
        <v>757.47</v>
      </c>
      <c r="V16" s="5">
        <v>50.33</v>
      </c>
      <c r="X16">
        <f t="shared" si="1"/>
        <v>-11.780000000000001</v>
      </c>
      <c r="Y16">
        <f t="shared" si="1"/>
        <v>-2.769999999999996</v>
      </c>
      <c r="Z16" s="9">
        <f t="shared" si="1"/>
        <v>-27.830000000000041</v>
      </c>
      <c r="AB16">
        <f t="shared" si="2"/>
        <v>-10.360000000000014</v>
      </c>
      <c r="AC16">
        <f t="shared" si="2"/>
        <v>-3.9899999999999949</v>
      </c>
      <c r="AD16">
        <f t="shared" si="2"/>
        <v>-27.830000000000041</v>
      </c>
      <c r="AF16" s="10">
        <f t="shared" si="4"/>
        <v>189</v>
      </c>
      <c r="AG16" s="10">
        <f t="shared" si="5"/>
        <v>90</v>
      </c>
      <c r="AH16">
        <f t="shared" si="3"/>
        <v>209.33466029303412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selection activeCell="Z2" sqref="Z2:Z16"/>
    </sheetView>
  </sheetViews>
  <sheetFormatPr baseColWidth="10" defaultColWidth="8.88671875" defaultRowHeight="14.4" x14ac:dyDescent="0.3"/>
  <sheetData>
    <row r="1" spans="1:34" x14ac:dyDescent="0.3">
      <c r="A1" s="12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501</v>
      </c>
      <c r="D2">
        <v>312</v>
      </c>
      <c r="F2">
        <v>-184.21</v>
      </c>
      <c r="G2">
        <v>-78.17</v>
      </c>
      <c r="H2">
        <v>841</v>
      </c>
      <c r="J2">
        <v>-187</v>
      </c>
      <c r="K2">
        <v>-77</v>
      </c>
      <c r="L2">
        <v>841</v>
      </c>
      <c r="N2">
        <v>-180.21</v>
      </c>
      <c r="O2">
        <v>-77.239999999999995</v>
      </c>
      <c r="P2">
        <v>821.56</v>
      </c>
      <c r="R2">
        <f t="shared" ref="R2:R16" si="0" xml:space="preserve"> (N2^2+O2^2+P2^2)^0.5</f>
        <v>844.63157370536408</v>
      </c>
      <c r="T2" s="4">
        <v>204.69</v>
      </c>
      <c r="U2" s="4">
        <v>556.92999999999995</v>
      </c>
      <c r="V2" s="4">
        <v>49.71</v>
      </c>
      <c r="X2">
        <f t="shared" ref="X2:Z16" si="1">N2-F2</f>
        <v>4</v>
      </c>
      <c r="Y2">
        <f t="shared" si="1"/>
        <v>0.93000000000000682</v>
      </c>
      <c r="Z2" s="9">
        <f t="shared" si="1"/>
        <v>-19.440000000000055</v>
      </c>
      <c r="AB2">
        <f t="shared" ref="AB2:AD16" si="2">N2-J2</f>
        <v>6.789999999999992</v>
      </c>
      <c r="AC2">
        <f t="shared" si="2"/>
        <v>-0.23999999999999488</v>
      </c>
      <c r="AD2">
        <f t="shared" si="2"/>
        <v>-19.440000000000055</v>
      </c>
      <c r="AF2" s="10">
        <f>C2-640</f>
        <v>-139</v>
      </c>
      <c r="AG2" s="10">
        <f>D2-360</f>
        <v>-48</v>
      </c>
      <c r="AH2">
        <f t="shared" ref="AH2:AH16" si="3">((C2-640)^2+(D2-360)^2)^0.5</f>
        <v>147.05441169852742</v>
      </c>
    </row>
    <row r="3" spans="1:34" x14ac:dyDescent="0.3">
      <c r="A3">
        <v>2</v>
      </c>
      <c r="C3">
        <v>576</v>
      </c>
      <c r="D3">
        <v>312</v>
      </c>
      <c r="F3">
        <v>-82.01</v>
      </c>
      <c r="G3">
        <v>-78.17</v>
      </c>
      <c r="H3">
        <v>841</v>
      </c>
      <c r="J3">
        <v>-85</v>
      </c>
      <c r="K3">
        <v>-77</v>
      </c>
      <c r="L3">
        <v>841</v>
      </c>
      <c r="N3">
        <v>-80.459999999999994</v>
      </c>
      <c r="O3">
        <v>-75.27</v>
      </c>
      <c r="P3">
        <v>820.01</v>
      </c>
      <c r="R3">
        <f t="shared" si="0"/>
        <v>827.3788640036679</v>
      </c>
      <c r="T3" s="4">
        <v>104.91</v>
      </c>
      <c r="U3" s="4">
        <v>557.29</v>
      </c>
      <c r="V3" s="4">
        <v>49.83</v>
      </c>
      <c r="X3">
        <f t="shared" si="1"/>
        <v>1.5500000000000114</v>
      </c>
      <c r="Y3">
        <f t="shared" si="1"/>
        <v>2.9000000000000057</v>
      </c>
      <c r="Z3" s="9">
        <f t="shared" si="1"/>
        <v>-20.990000000000009</v>
      </c>
      <c r="AB3">
        <f t="shared" si="2"/>
        <v>4.5400000000000063</v>
      </c>
      <c r="AC3">
        <f t="shared" si="2"/>
        <v>1.730000000000004</v>
      </c>
      <c r="AD3">
        <f t="shared" si="2"/>
        <v>-20.990000000000009</v>
      </c>
      <c r="AF3" s="10">
        <f t="shared" ref="AF3:AF16" si="4">C3-640</f>
        <v>-64</v>
      </c>
      <c r="AG3" s="10">
        <f t="shared" ref="AG3:AG16" si="5">D3-360</f>
        <v>-48</v>
      </c>
      <c r="AH3">
        <f t="shared" si="3"/>
        <v>80</v>
      </c>
    </row>
    <row r="4" spans="1:34" x14ac:dyDescent="0.3">
      <c r="A4">
        <v>3</v>
      </c>
      <c r="C4">
        <v>651</v>
      </c>
      <c r="D4">
        <v>313</v>
      </c>
      <c r="F4">
        <v>20.03</v>
      </c>
      <c r="G4">
        <v>-76.25</v>
      </c>
      <c r="H4">
        <v>835</v>
      </c>
      <c r="J4">
        <v>18</v>
      </c>
      <c r="K4">
        <v>-75</v>
      </c>
      <c r="L4">
        <v>835</v>
      </c>
      <c r="N4">
        <v>19.850000000000001</v>
      </c>
      <c r="O4">
        <v>-74.03</v>
      </c>
      <c r="P4">
        <v>817.95</v>
      </c>
      <c r="R4">
        <f t="shared" si="0"/>
        <v>821.5331191741451</v>
      </c>
      <c r="T4" s="4">
        <v>4.5599999999999996</v>
      </c>
      <c r="U4" s="4">
        <v>557.33000000000004</v>
      </c>
      <c r="V4" s="4">
        <v>50.79</v>
      </c>
      <c r="X4">
        <f t="shared" si="1"/>
        <v>-0.17999999999999972</v>
      </c>
      <c r="Y4">
        <f t="shared" si="1"/>
        <v>2.2199999999999989</v>
      </c>
      <c r="Z4" s="9">
        <f t="shared" si="1"/>
        <v>-17.049999999999955</v>
      </c>
      <c r="AB4">
        <f t="shared" si="2"/>
        <v>1.8500000000000014</v>
      </c>
      <c r="AC4">
        <f t="shared" si="2"/>
        <v>0.96999999999999886</v>
      </c>
      <c r="AD4">
        <f t="shared" si="2"/>
        <v>-17.049999999999955</v>
      </c>
      <c r="AF4" s="10">
        <f t="shared" si="4"/>
        <v>11</v>
      </c>
      <c r="AG4" s="10">
        <f t="shared" si="5"/>
        <v>-47</v>
      </c>
      <c r="AH4">
        <f t="shared" si="3"/>
        <v>48.270073544588683</v>
      </c>
    </row>
    <row r="5" spans="1:34" x14ac:dyDescent="0.3">
      <c r="A5">
        <v>4</v>
      </c>
      <c r="C5">
        <v>728</v>
      </c>
      <c r="D5">
        <v>314</v>
      </c>
      <c r="F5">
        <v>123.91</v>
      </c>
      <c r="G5">
        <v>-74.709999999999994</v>
      </c>
      <c r="H5">
        <v>833</v>
      </c>
      <c r="J5">
        <v>123</v>
      </c>
      <c r="K5">
        <v>-73</v>
      </c>
      <c r="L5">
        <v>833</v>
      </c>
      <c r="N5">
        <v>120.57</v>
      </c>
      <c r="O5">
        <v>-72.28</v>
      </c>
      <c r="P5">
        <v>816.62</v>
      </c>
      <c r="R5">
        <f t="shared" si="0"/>
        <v>828.63124953141858</v>
      </c>
      <c r="T5" s="4">
        <v>-96.18</v>
      </c>
      <c r="U5" s="4">
        <v>557.36</v>
      </c>
      <c r="V5" s="4">
        <v>50.85</v>
      </c>
      <c r="X5">
        <f t="shared" si="1"/>
        <v>-3.3400000000000034</v>
      </c>
      <c r="Y5">
        <f t="shared" si="1"/>
        <v>2.4299999999999926</v>
      </c>
      <c r="Z5" s="9">
        <f t="shared" si="1"/>
        <v>-16.379999999999995</v>
      </c>
      <c r="AB5">
        <f t="shared" si="2"/>
        <v>-2.4300000000000068</v>
      </c>
      <c r="AC5">
        <f t="shared" si="2"/>
        <v>0.71999999999999886</v>
      </c>
      <c r="AD5">
        <f t="shared" si="2"/>
        <v>-16.379999999999995</v>
      </c>
      <c r="AF5" s="10">
        <f t="shared" si="4"/>
        <v>88</v>
      </c>
      <c r="AG5" s="10">
        <f t="shared" si="5"/>
        <v>-46</v>
      </c>
      <c r="AH5">
        <f t="shared" si="3"/>
        <v>99.297532698451278</v>
      </c>
    </row>
    <row r="6" spans="1:34" x14ac:dyDescent="0.3">
      <c r="A6">
        <v>5</v>
      </c>
      <c r="C6">
        <v>805</v>
      </c>
      <c r="D6">
        <v>314</v>
      </c>
      <c r="F6">
        <v>228.38</v>
      </c>
      <c r="G6">
        <v>-74.89</v>
      </c>
      <c r="H6">
        <v>835</v>
      </c>
      <c r="J6">
        <v>228</v>
      </c>
      <c r="K6">
        <v>-73</v>
      </c>
      <c r="L6">
        <v>835</v>
      </c>
      <c r="N6">
        <v>220.47</v>
      </c>
      <c r="O6">
        <v>-70.3</v>
      </c>
      <c r="P6">
        <v>814.86</v>
      </c>
      <c r="R6">
        <f t="shared" si="0"/>
        <v>847.08082878790265</v>
      </c>
      <c r="T6" s="4">
        <v>-196.11</v>
      </c>
      <c r="U6" s="4">
        <v>557.85</v>
      </c>
      <c r="V6" s="4">
        <v>51.14</v>
      </c>
      <c r="X6">
        <f t="shared" si="1"/>
        <v>-7.9099999999999966</v>
      </c>
      <c r="Y6">
        <f t="shared" si="1"/>
        <v>4.5900000000000034</v>
      </c>
      <c r="Z6" s="9">
        <f t="shared" si="1"/>
        <v>-20.139999999999986</v>
      </c>
      <c r="AB6">
        <f t="shared" si="2"/>
        <v>-7.5300000000000011</v>
      </c>
      <c r="AC6">
        <f t="shared" si="2"/>
        <v>2.7000000000000028</v>
      </c>
      <c r="AD6">
        <f t="shared" si="2"/>
        <v>-20.139999999999986</v>
      </c>
      <c r="AF6" s="10">
        <f t="shared" si="4"/>
        <v>165</v>
      </c>
      <c r="AG6" s="10">
        <f t="shared" si="5"/>
        <v>-46</v>
      </c>
      <c r="AH6">
        <f t="shared" si="3"/>
        <v>171.29214809792072</v>
      </c>
    </row>
    <row r="7" spans="1:34" x14ac:dyDescent="0.3">
      <c r="A7">
        <v>6</v>
      </c>
      <c r="C7">
        <v>489</v>
      </c>
      <c r="D7">
        <v>373</v>
      </c>
      <c r="F7">
        <v>-187.2</v>
      </c>
      <c r="G7">
        <v>4.9400000000000004</v>
      </c>
      <c r="H7">
        <v>785</v>
      </c>
      <c r="J7">
        <v>-190</v>
      </c>
      <c r="K7">
        <v>7</v>
      </c>
      <c r="L7">
        <v>785</v>
      </c>
      <c r="N7">
        <v>-182.49</v>
      </c>
      <c r="O7">
        <v>3.41</v>
      </c>
      <c r="P7">
        <v>764.51</v>
      </c>
      <c r="R7">
        <f t="shared" si="0"/>
        <v>785.99603580425264</v>
      </c>
      <c r="T7" s="3">
        <v>204.84</v>
      </c>
      <c r="U7" s="3">
        <v>655.75</v>
      </c>
      <c r="V7" s="3">
        <v>49.64</v>
      </c>
      <c r="X7">
        <f t="shared" si="1"/>
        <v>4.7099999999999795</v>
      </c>
      <c r="Y7">
        <f t="shared" si="1"/>
        <v>-1.5300000000000002</v>
      </c>
      <c r="Z7" s="9">
        <f t="shared" si="1"/>
        <v>-20.490000000000009</v>
      </c>
      <c r="AB7">
        <f t="shared" si="2"/>
        <v>7.5099999999999909</v>
      </c>
      <c r="AC7">
        <f t="shared" si="2"/>
        <v>-3.59</v>
      </c>
      <c r="AD7">
        <f t="shared" si="2"/>
        <v>-20.490000000000009</v>
      </c>
      <c r="AF7" s="10">
        <f t="shared" si="4"/>
        <v>-151</v>
      </c>
      <c r="AG7" s="10">
        <f t="shared" si="5"/>
        <v>13</v>
      </c>
      <c r="AH7">
        <f t="shared" si="3"/>
        <v>151.55856953666461</v>
      </c>
    </row>
    <row r="8" spans="1:34" x14ac:dyDescent="0.3">
      <c r="A8">
        <v>7</v>
      </c>
      <c r="C8">
        <v>571</v>
      </c>
      <c r="D8">
        <v>375</v>
      </c>
      <c r="F8">
        <v>-82.7</v>
      </c>
      <c r="G8">
        <v>7.47</v>
      </c>
      <c r="H8">
        <v>783</v>
      </c>
      <c r="J8">
        <v>-85</v>
      </c>
      <c r="K8">
        <v>9</v>
      </c>
      <c r="L8">
        <v>783</v>
      </c>
      <c r="N8">
        <v>-80.88</v>
      </c>
      <c r="O8">
        <v>6.13</v>
      </c>
      <c r="P8">
        <v>762.77</v>
      </c>
      <c r="R8">
        <f t="shared" si="0"/>
        <v>767.07054708155761</v>
      </c>
      <c r="T8" s="3">
        <v>103.19</v>
      </c>
      <c r="U8" s="3">
        <v>656.79</v>
      </c>
      <c r="V8" s="3">
        <v>49.48</v>
      </c>
      <c r="X8">
        <f t="shared" si="1"/>
        <v>1.8200000000000074</v>
      </c>
      <c r="Y8">
        <f t="shared" si="1"/>
        <v>-1.3399999999999999</v>
      </c>
      <c r="Z8" s="9">
        <f t="shared" si="1"/>
        <v>-20.230000000000018</v>
      </c>
      <c r="AB8">
        <f t="shared" si="2"/>
        <v>4.1200000000000045</v>
      </c>
      <c r="AC8">
        <f t="shared" si="2"/>
        <v>-2.87</v>
      </c>
      <c r="AD8">
        <f t="shared" si="2"/>
        <v>-20.230000000000018</v>
      </c>
      <c r="AF8" s="10">
        <f t="shared" si="4"/>
        <v>-69</v>
      </c>
      <c r="AG8" s="10">
        <f t="shared" si="5"/>
        <v>15</v>
      </c>
      <c r="AH8">
        <f t="shared" si="3"/>
        <v>70.611613775638915</v>
      </c>
    </row>
    <row r="9" spans="1:34" x14ac:dyDescent="0.3">
      <c r="A9">
        <v>8</v>
      </c>
      <c r="C9">
        <v>652</v>
      </c>
      <c r="D9">
        <v>375</v>
      </c>
      <c r="F9">
        <v>20.079999999999998</v>
      </c>
      <c r="G9">
        <v>7.48</v>
      </c>
      <c r="H9">
        <v>784</v>
      </c>
      <c r="J9">
        <v>19</v>
      </c>
      <c r="K9">
        <v>9</v>
      </c>
      <c r="L9">
        <v>784</v>
      </c>
      <c r="N9">
        <v>18.02</v>
      </c>
      <c r="O9">
        <v>7.31</v>
      </c>
      <c r="P9">
        <v>761.56</v>
      </c>
      <c r="R9">
        <f t="shared" si="0"/>
        <v>761.80823709119863</v>
      </c>
      <c r="T9" s="3">
        <v>4.2699999999999996</v>
      </c>
      <c r="U9" s="3">
        <v>656.32</v>
      </c>
      <c r="V9" s="3">
        <v>49.78</v>
      </c>
      <c r="X9">
        <f t="shared" si="1"/>
        <v>-2.0599999999999987</v>
      </c>
      <c r="Y9">
        <f t="shared" si="1"/>
        <v>-0.17000000000000082</v>
      </c>
      <c r="Z9" s="9">
        <f t="shared" si="1"/>
        <v>-22.440000000000055</v>
      </c>
      <c r="AB9">
        <f t="shared" si="2"/>
        <v>-0.98000000000000043</v>
      </c>
      <c r="AC9">
        <f t="shared" si="2"/>
        <v>-1.6900000000000004</v>
      </c>
      <c r="AD9">
        <f t="shared" si="2"/>
        <v>-22.440000000000055</v>
      </c>
      <c r="AF9" s="10">
        <f t="shared" si="4"/>
        <v>12</v>
      </c>
      <c r="AG9" s="10">
        <f t="shared" si="5"/>
        <v>15</v>
      </c>
      <c r="AH9">
        <f t="shared" si="3"/>
        <v>19.209372712298546</v>
      </c>
    </row>
    <row r="10" spans="1:34" x14ac:dyDescent="0.3">
      <c r="A10">
        <v>9</v>
      </c>
      <c r="C10">
        <v>733</v>
      </c>
      <c r="D10">
        <v>375</v>
      </c>
      <c r="F10">
        <v>122.5</v>
      </c>
      <c r="G10">
        <v>7.45</v>
      </c>
      <c r="H10">
        <v>781</v>
      </c>
      <c r="J10">
        <v>122</v>
      </c>
      <c r="K10">
        <v>9</v>
      </c>
      <c r="L10">
        <v>781</v>
      </c>
      <c r="N10">
        <v>118.39</v>
      </c>
      <c r="O10">
        <v>8.4600000000000009</v>
      </c>
      <c r="P10">
        <v>760.63</v>
      </c>
      <c r="R10">
        <f t="shared" si="0"/>
        <v>769.83489177875015</v>
      </c>
      <c r="T10" s="3">
        <v>-96.11</v>
      </c>
      <c r="U10" s="3">
        <v>655.64</v>
      </c>
      <c r="V10" s="3">
        <v>49.87</v>
      </c>
      <c r="X10">
        <f t="shared" si="1"/>
        <v>-4.1099999999999994</v>
      </c>
      <c r="Y10">
        <f t="shared" si="1"/>
        <v>1.0100000000000007</v>
      </c>
      <c r="Z10" s="9">
        <f t="shared" si="1"/>
        <v>-20.370000000000005</v>
      </c>
      <c r="AB10">
        <f t="shared" si="2"/>
        <v>-3.6099999999999994</v>
      </c>
      <c r="AC10">
        <f t="shared" si="2"/>
        <v>-0.53999999999999915</v>
      </c>
      <c r="AD10">
        <f t="shared" si="2"/>
        <v>-20.370000000000005</v>
      </c>
      <c r="AF10" s="10">
        <f t="shared" si="4"/>
        <v>93</v>
      </c>
      <c r="AG10" s="10">
        <f t="shared" si="5"/>
        <v>15</v>
      </c>
      <c r="AH10">
        <f t="shared" si="3"/>
        <v>94.201910808645493</v>
      </c>
    </row>
    <row r="11" spans="1:34" x14ac:dyDescent="0.3">
      <c r="A11">
        <v>10</v>
      </c>
      <c r="C11">
        <v>815</v>
      </c>
      <c r="D11">
        <v>375</v>
      </c>
      <c r="F11">
        <v>226.26</v>
      </c>
      <c r="G11">
        <v>7.45</v>
      </c>
      <c r="H11">
        <v>781</v>
      </c>
      <c r="J11">
        <v>226</v>
      </c>
      <c r="K11">
        <v>9</v>
      </c>
      <c r="L11">
        <v>781</v>
      </c>
      <c r="N11">
        <v>217.45</v>
      </c>
      <c r="O11">
        <v>10.27</v>
      </c>
      <c r="P11">
        <v>759.11</v>
      </c>
      <c r="R11">
        <f t="shared" si="0"/>
        <v>789.70752022505144</v>
      </c>
      <c r="T11" s="3">
        <v>-195.2</v>
      </c>
      <c r="U11" s="3">
        <v>655.87</v>
      </c>
      <c r="V11" s="3">
        <v>50.06</v>
      </c>
      <c r="X11">
        <f t="shared" si="1"/>
        <v>-8.8100000000000023</v>
      </c>
      <c r="Y11">
        <f t="shared" si="1"/>
        <v>2.8199999999999994</v>
      </c>
      <c r="Z11" s="9">
        <f t="shared" si="1"/>
        <v>-21.889999999999986</v>
      </c>
      <c r="AB11">
        <f t="shared" si="2"/>
        <v>-8.5500000000000114</v>
      </c>
      <c r="AC11">
        <f t="shared" si="2"/>
        <v>1.2699999999999996</v>
      </c>
      <c r="AD11">
        <f t="shared" si="2"/>
        <v>-21.889999999999986</v>
      </c>
      <c r="AF11" s="10">
        <f t="shared" si="4"/>
        <v>175</v>
      </c>
      <c r="AG11" s="10">
        <f t="shared" si="5"/>
        <v>15</v>
      </c>
      <c r="AH11">
        <f t="shared" si="3"/>
        <v>175.64168070250295</v>
      </c>
    </row>
    <row r="12" spans="1:34" x14ac:dyDescent="0.3">
      <c r="A12">
        <v>11</v>
      </c>
      <c r="C12">
        <v>475</v>
      </c>
      <c r="D12">
        <v>447</v>
      </c>
      <c r="F12">
        <v>-189.86</v>
      </c>
      <c r="G12">
        <v>92.1</v>
      </c>
      <c r="H12">
        <v>727</v>
      </c>
      <c r="J12">
        <v>-192</v>
      </c>
      <c r="K12">
        <v>94</v>
      </c>
      <c r="L12">
        <v>727</v>
      </c>
      <c r="N12">
        <v>-184.15</v>
      </c>
      <c r="O12">
        <v>85.4</v>
      </c>
      <c r="P12">
        <v>707.18</v>
      </c>
      <c r="R12">
        <f t="shared" si="0"/>
        <v>735.73632158538976</v>
      </c>
      <c r="T12" s="5">
        <v>204.35</v>
      </c>
      <c r="U12" s="5">
        <v>755.8</v>
      </c>
      <c r="V12" s="5">
        <v>49.03</v>
      </c>
      <c r="X12">
        <f t="shared" si="1"/>
        <v>5.710000000000008</v>
      </c>
      <c r="Y12">
        <f t="shared" si="1"/>
        <v>-6.6999999999999886</v>
      </c>
      <c r="Z12" s="9">
        <f t="shared" si="1"/>
        <v>-19.82000000000005</v>
      </c>
      <c r="AB12">
        <f t="shared" si="2"/>
        <v>7.8499999999999943</v>
      </c>
      <c r="AC12">
        <f t="shared" si="2"/>
        <v>-8.5999999999999943</v>
      </c>
      <c r="AD12">
        <f t="shared" si="2"/>
        <v>-19.82000000000005</v>
      </c>
      <c r="AF12" s="10">
        <f t="shared" si="4"/>
        <v>-165</v>
      </c>
      <c r="AG12" s="10">
        <f t="shared" si="5"/>
        <v>87</v>
      </c>
      <c r="AH12">
        <f t="shared" si="3"/>
        <v>186.53149868051776</v>
      </c>
    </row>
    <row r="13" spans="1:34" x14ac:dyDescent="0.3">
      <c r="A13">
        <v>12</v>
      </c>
      <c r="C13">
        <v>566</v>
      </c>
      <c r="D13">
        <v>447</v>
      </c>
      <c r="F13">
        <v>-82.67</v>
      </c>
      <c r="G13">
        <v>92.1</v>
      </c>
      <c r="H13">
        <v>727</v>
      </c>
      <c r="J13">
        <v>-85</v>
      </c>
      <c r="K13">
        <v>94</v>
      </c>
      <c r="L13">
        <v>727</v>
      </c>
      <c r="N13">
        <v>-82.26</v>
      </c>
      <c r="O13">
        <v>87.56</v>
      </c>
      <c r="P13">
        <v>705.9</v>
      </c>
      <c r="R13">
        <f t="shared" si="0"/>
        <v>716.05046693651411</v>
      </c>
      <c r="T13" s="5">
        <v>102.44</v>
      </c>
      <c r="U13" s="5">
        <v>756.11</v>
      </c>
      <c r="V13" s="5">
        <v>48.82</v>
      </c>
      <c r="X13">
        <f t="shared" si="1"/>
        <v>0.40999999999999659</v>
      </c>
      <c r="Y13">
        <f t="shared" si="1"/>
        <v>-4.539999999999992</v>
      </c>
      <c r="Z13" s="9">
        <f t="shared" si="1"/>
        <v>-21.100000000000023</v>
      </c>
      <c r="AB13">
        <f t="shared" si="2"/>
        <v>2.7399999999999949</v>
      </c>
      <c r="AC13">
        <f t="shared" si="2"/>
        <v>-6.4399999999999977</v>
      </c>
      <c r="AD13">
        <f t="shared" si="2"/>
        <v>-21.100000000000023</v>
      </c>
      <c r="AF13" s="10">
        <f t="shared" si="4"/>
        <v>-74</v>
      </c>
      <c r="AG13" s="10">
        <f t="shared" si="5"/>
        <v>87</v>
      </c>
      <c r="AH13">
        <f t="shared" si="3"/>
        <v>114.21471008587291</v>
      </c>
    </row>
    <row r="14" spans="1:34" x14ac:dyDescent="0.3">
      <c r="A14">
        <v>13</v>
      </c>
      <c r="C14">
        <v>651</v>
      </c>
      <c r="D14">
        <v>448</v>
      </c>
      <c r="F14">
        <v>17.27</v>
      </c>
      <c r="G14">
        <v>92.38</v>
      </c>
      <c r="H14">
        <v>720</v>
      </c>
      <c r="J14">
        <v>16</v>
      </c>
      <c r="K14">
        <v>95</v>
      </c>
      <c r="L14">
        <v>720</v>
      </c>
      <c r="N14">
        <v>16.420000000000002</v>
      </c>
      <c r="O14">
        <v>89.45</v>
      </c>
      <c r="P14">
        <v>703.89</v>
      </c>
      <c r="R14">
        <f t="shared" si="0"/>
        <v>709.74083368508536</v>
      </c>
      <c r="T14" s="5">
        <v>3.71</v>
      </c>
      <c r="U14" s="5">
        <v>756.7</v>
      </c>
      <c r="V14" s="5">
        <v>49.36</v>
      </c>
      <c r="X14">
        <f t="shared" si="1"/>
        <v>-0.84999999999999787</v>
      </c>
      <c r="Y14">
        <f t="shared" si="1"/>
        <v>-2.9299999999999926</v>
      </c>
      <c r="Z14" s="9">
        <f t="shared" si="1"/>
        <v>-16.110000000000014</v>
      </c>
      <c r="AB14">
        <f t="shared" si="2"/>
        <v>0.42000000000000171</v>
      </c>
      <c r="AC14">
        <f t="shared" si="2"/>
        <v>-5.5499999999999972</v>
      </c>
      <c r="AD14">
        <f t="shared" si="2"/>
        <v>-16.110000000000014</v>
      </c>
      <c r="AF14" s="10">
        <f t="shared" si="4"/>
        <v>11</v>
      </c>
      <c r="AG14" s="10">
        <f t="shared" si="5"/>
        <v>88</v>
      </c>
      <c r="AH14">
        <f t="shared" si="3"/>
        <v>88.68483523128404</v>
      </c>
    </row>
    <row r="15" spans="1:34" x14ac:dyDescent="0.3">
      <c r="A15">
        <v>14</v>
      </c>
      <c r="C15">
        <v>740</v>
      </c>
      <c r="D15">
        <v>449</v>
      </c>
      <c r="F15" s="7">
        <v>120.76</v>
      </c>
      <c r="G15">
        <v>93.3</v>
      </c>
      <c r="H15">
        <v>718</v>
      </c>
      <c r="J15">
        <v>120</v>
      </c>
      <c r="K15">
        <v>95</v>
      </c>
      <c r="L15">
        <v>718</v>
      </c>
      <c r="N15">
        <v>116.49</v>
      </c>
      <c r="O15">
        <v>91.04</v>
      </c>
      <c r="P15">
        <v>702.42</v>
      </c>
      <c r="R15">
        <f t="shared" si="0"/>
        <v>717.81060043719049</v>
      </c>
      <c r="T15" s="5">
        <v>-96.38</v>
      </c>
      <c r="U15" s="5">
        <v>756.69</v>
      </c>
      <c r="V15" s="5">
        <v>49.64</v>
      </c>
      <c r="X15">
        <f t="shared" si="1"/>
        <v>-4.2700000000000102</v>
      </c>
      <c r="Y15">
        <f t="shared" si="1"/>
        <v>-2.2599999999999909</v>
      </c>
      <c r="Z15" s="9">
        <f t="shared" si="1"/>
        <v>-15.580000000000041</v>
      </c>
      <c r="AB15">
        <f t="shared" si="2"/>
        <v>-3.5100000000000051</v>
      </c>
      <c r="AC15">
        <f t="shared" si="2"/>
        <v>-3.9599999999999937</v>
      </c>
      <c r="AD15">
        <f t="shared" si="2"/>
        <v>-15.580000000000041</v>
      </c>
      <c r="AF15" s="10">
        <f t="shared" si="4"/>
        <v>100</v>
      </c>
      <c r="AG15" s="10">
        <f t="shared" si="5"/>
        <v>89</v>
      </c>
      <c r="AH15">
        <f t="shared" si="3"/>
        <v>133.86933928274988</v>
      </c>
    </row>
    <row r="16" spans="1:34" x14ac:dyDescent="0.3">
      <c r="A16">
        <v>15</v>
      </c>
      <c r="C16">
        <v>829</v>
      </c>
      <c r="D16">
        <v>450</v>
      </c>
      <c r="F16">
        <v>224.92</v>
      </c>
      <c r="G16">
        <v>94.73</v>
      </c>
      <c r="H16">
        <v>720</v>
      </c>
      <c r="J16">
        <v>224</v>
      </c>
      <c r="K16">
        <v>96</v>
      </c>
      <c r="L16">
        <v>720</v>
      </c>
      <c r="N16">
        <v>214.84</v>
      </c>
      <c r="O16">
        <v>92.89</v>
      </c>
      <c r="P16">
        <v>700.93</v>
      </c>
      <c r="R16">
        <f t="shared" si="0"/>
        <v>738.97743037253849</v>
      </c>
      <c r="T16" s="5">
        <v>-194.76</v>
      </c>
      <c r="U16" s="5">
        <v>756.95</v>
      </c>
      <c r="V16" s="5">
        <v>49.77</v>
      </c>
      <c r="X16">
        <f t="shared" si="1"/>
        <v>-10.079999999999984</v>
      </c>
      <c r="Y16">
        <f t="shared" si="1"/>
        <v>-1.8400000000000034</v>
      </c>
      <c r="Z16" s="9">
        <f t="shared" si="1"/>
        <v>-19.07000000000005</v>
      </c>
      <c r="AB16">
        <f t="shared" si="2"/>
        <v>-9.1599999999999966</v>
      </c>
      <c r="AC16">
        <f t="shared" si="2"/>
        <v>-3.1099999999999994</v>
      </c>
      <c r="AD16">
        <f t="shared" si="2"/>
        <v>-19.07000000000005</v>
      </c>
      <c r="AF16" s="10">
        <f t="shared" si="4"/>
        <v>189</v>
      </c>
      <c r="AG16" s="10">
        <f t="shared" si="5"/>
        <v>90</v>
      </c>
      <c r="AH16">
        <f t="shared" si="3"/>
        <v>209.33466029303412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zoomScale="90" zoomScaleNormal="90" workbookViewId="0">
      <selection activeCell="Z2" sqref="Z2:Z16"/>
    </sheetView>
  </sheetViews>
  <sheetFormatPr baseColWidth="10" defaultColWidth="8.88671875" defaultRowHeight="14.4" x14ac:dyDescent="0.3"/>
  <cols>
    <col min="23" max="23" width="16.44140625" customWidth="1"/>
  </cols>
  <sheetData>
    <row r="1" spans="1:34" x14ac:dyDescent="0.3">
      <c r="A1" s="14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501</v>
      </c>
      <c r="D2">
        <v>312</v>
      </c>
      <c r="F2">
        <v>-185.3</v>
      </c>
      <c r="G2">
        <v>-78.63</v>
      </c>
      <c r="H2">
        <v>846</v>
      </c>
      <c r="J2">
        <v>-189</v>
      </c>
      <c r="K2">
        <v>-77</v>
      </c>
      <c r="L2">
        <v>846</v>
      </c>
      <c r="N2">
        <v>-180.14</v>
      </c>
      <c r="O2">
        <v>-77.37</v>
      </c>
      <c r="P2">
        <v>821.46</v>
      </c>
      <c r="R2">
        <f t="shared" ref="R2:R16" si="0" xml:space="preserve"> (N2^2+O2^2+P2^2)^0.5</f>
        <v>844.53127123866773</v>
      </c>
      <c r="T2" s="4">
        <v>204.62</v>
      </c>
      <c r="U2" s="4">
        <v>556.88</v>
      </c>
      <c r="V2" s="4">
        <v>49.87</v>
      </c>
      <c r="X2">
        <f t="shared" ref="X2:Z16" si="1">N2-F2</f>
        <v>5.160000000000025</v>
      </c>
      <c r="Y2">
        <f t="shared" si="1"/>
        <v>1.2599999999999909</v>
      </c>
      <c r="Z2" s="9">
        <f t="shared" si="1"/>
        <v>-24.539999999999964</v>
      </c>
      <c r="AB2">
        <f t="shared" ref="AB2:AD16" si="2">N2-J2</f>
        <v>8.8600000000000136</v>
      </c>
      <c r="AC2">
        <f t="shared" si="2"/>
        <v>-0.37000000000000455</v>
      </c>
      <c r="AD2">
        <f t="shared" si="2"/>
        <v>-24.539999999999964</v>
      </c>
      <c r="AF2" s="10">
        <f>C2-640</f>
        <v>-139</v>
      </c>
      <c r="AG2" s="10">
        <f>D2-360</f>
        <v>-48</v>
      </c>
      <c r="AH2">
        <f t="shared" ref="AH2:AH16" si="3">((C2-640)^2+(D2-360)^2)^0.5</f>
        <v>147.05441169852742</v>
      </c>
    </row>
    <row r="3" spans="1:34" x14ac:dyDescent="0.3">
      <c r="A3">
        <v>2</v>
      </c>
      <c r="C3">
        <v>576</v>
      </c>
      <c r="D3">
        <v>312</v>
      </c>
      <c r="F3">
        <v>-82.3</v>
      </c>
      <c r="G3">
        <v>-78.45</v>
      </c>
      <c r="H3">
        <v>844</v>
      </c>
      <c r="J3">
        <v>-85</v>
      </c>
      <c r="K3">
        <v>-77</v>
      </c>
      <c r="L3">
        <v>844</v>
      </c>
      <c r="N3">
        <v>-79.87</v>
      </c>
      <c r="O3">
        <v>-75.959999999999994</v>
      </c>
      <c r="P3">
        <v>820.24</v>
      </c>
      <c r="R3">
        <f t="shared" si="0"/>
        <v>827.61270900101579</v>
      </c>
      <c r="T3" s="4">
        <v>104.33</v>
      </c>
      <c r="U3" s="4">
        <v>556.57000000000005</v>
      </c>
      <c r="V3" s="4">
        <v>50.04</v>
      </c>
      <c r="X3">
        <f t="shared" si="1"/>
        <v>2.4299999999999926</v>
      </c>
      <c r="Y3">
        <f t="shared" si="1"/>
        <v>2.4900000000000091</v>
      </c>
      <c r="Z3" s="9">
        <f t="shared" si="1"/>
        <v>-23.759999999999991</v>
      </c>
      <c r="AB3">
        <f t="shared" si="2"/>
        <v>5.1299999999999955</v>
      </c>
      <c r="AC3">
        <f t="shared" si="2"/>
        <v>1.0400000000000063</v>
      </c>
      <c r="AD3">
        <f t="shared" si="2"/>
        <v>-23.759999999999991</v>
      </c>
      <c r="AF3" s="10">
        <f t="shared" ref="AF3:AF16" si="4">C3-640</f>
        <v>-64</v>
      </c>
      <c r="AG3" s="10">
        <f t="shared" ref="AG3:AG16" si="5">D3-360</f>
        <v>-48</v>
      </c>
      <c r="AH3">
        <f t="shared" si="3"/>
        <v>80</v>
      </c>
    </row>
    <row r="4" spans="1:34" x14ac:dyDescent="0.3">
      <c r="A4">
        <v>3</v>
      </c>
      <c r="C4">
        <v>651</v>
      </c>
      <c r="D4">
        <v>313</v>
      </c>
      <c r="F4">
        <v>20.2</v>
      </c>
      <c r="G4">
        <v>-76.89</v>
      </c>
      <c r="H4">
        <v>842</v>
      </c>
      <c r="J4">
        <v>19</v>
      </c>
      <c r="K4">
        <v>-76</v>
      </c>
      <c r="L4">
        <v>842</v>
      </c>
      <c r="N4">
        <v>19.41</v>
      </c>
      <c r="O4">
        <v>-73.28</v>
      </c>
      <c r="P4">
        <v>818.1</v>
      </c>
      <c r="R4">
        <f t="shared" si="0"/>
        <v>821.60472034914699</v>
      </c>
      <c r="T4" s="4">
        <v>4.99</v>
      </c>
      <c r="U4" s="4">
        <v>557.86</v>
      </c>
      <c r="V4" s="4">
        <v>50.23</v>
      </c>
      <c r="X4">
        <f t="shared" si="1"/>
        <v>-0.78999999999999915</v>
      </c>
      <c r="Y4">
        <f t="shared" si="1"/>
        <v>3.6099999999999994</v>
      </c>
      <c r="Z4" s="9">
        <f t="shared" si="1"/>
        <v>-23.899999999999977</v>
      </c>
      <c r="AB4">
        <f t="shared" si="2"/>
        <v>0.41000000000000014</v>
      </c>
      <c r="AC4">
        <f t="shared" si="2"/>
        <v>2.7199999999999989</v>
      </c>
      <c r="AD4">
        <f t="shared" si="2"/>
        <v>-23.899999999999977</v>
      </c>
      <c r="AF4" s="10">
        <f t="shared" si="4"/>
        <v>11</v>
      </c>
      <c r="AG4" s="10">
        <f t="shared" si="5"/>
        <v>-47</v>
      </c>
      <c r="AH4">
        <f t="shared" si="3"/>
        <v>48.270073544588683</v>
      </c>
    </row>
    <row r="5" spans="1:34" x14ac:dyDescent="0.3">
      <c r="A5">
        <v>4</v>
      </c>
      <c r="C5">
        <v>727</v>
      </c>
      <c r="D5">
        <v>313</v>
      </c>
      <c r="F5">
        <v>123.59</v>
      </c>
      <c r="G5">
        <v>-76.709999999999994</v>
      </c>
      <c r="H5">
        <v>840</v>
      </c>
      <c r="J5">
        <v>123</v>
      </c>
      <c r="K5">
        <v>-75</v>
      </c>
      <c r="L5">
        <v>840</v>
      </c>
      <c r="N5">
        <v>120.04</v>
      </c>
      <c r="O5">
        <v>-71.349999999999994</v>
      </c>
      <c r="P5">
        <v>816.6</v>
      </c>
      <c r="R5">
        <f t="shared" si="0"/>
        <v>828.45397222778763</v>
      </c>
      <c r="T5" s="4">
        <v>-95.66</v>
      </c>
      <c r="U5" s="4">
        <v>558.14</v>
      </c>
      <c r="V5" s="4">
        <v>50.33</v>
      </c>
      <c r="X5">
        <f t="shared" si="1"/>
        <v>-3.5499999999999972</v>
      </c>
      <c r="Y5">
        <f t="shared" si="1"/>
        <v>5.3599999999999994</v>
      </c>
      <c r="Z5" s="9">
        <f t="shared" si="1"/>
        <v>-23.399999999999977</v>
      </c>
      <c r="AB5">
        <f t="shared" si="2"/>
        <v>-2.9599999999999937</v>
      </c>
      <c r="AC5">
        <f t="shared" si="2"/>
        <v>3.6500000000000057</v>
      </c>
      <c r="AD5">
        <f t="shared" si="2"/>
        <v>-23.399999999999977</v>
      </c>
      <c r="AF5" s="10">
        <f t="shared" si="4"/>
        <v>87</v>
      </c>
      <c r="AG5" s="10">
        <f t="shared" si="5"/>
        <v>-47</v>
      </c>
      <c r="AH5">
        <f t="shared" si="3"/>
        <v>98.883770154661889</v>
      </c>
    </row>
    <row r="6" spans="1:34" x14ac:dyDescent="0.3">
      <c r="A6">
        <v>5</v>
      </c>
      <c r="C6">
        <v>804</v>
      </c>
      <c r="D6">
        <v>313</v>
      </c>
      <c r="F6">
        <v>227.84</v>
      </c>
      <c r="G6">
        <v>-76.53</v>
      </c>
      <c r="H6">
        <v>838</v>
      </c>
      <c r="J6">
        <v>227</v>
      </c>
      <c r="K6">
        <v>-75</v>
      </c>
      <c r="L6">
        <v>838</v>
      </c>
      <c r="N6">
        <v>220.24</v>
      </c>
      <c r="O6">
        <v>-70.959999999999994</v>
      </c>
      <c r="P6">
        <v>815.34</v>
      </c>
      <c r="R6">
        <f t="shared" si="0"/>
        <v>847.53778370052623</v>
      </c>
      <c r="T6" s="4">
        <v>-195.86</v>
      </c>
      <c r="U6" s="4">
        <v>557.04</v>
      </c>
      <c r="V6" s="4">
        <v>51.13</v>
      </c>
      <c r="X6">
        <f t="shared" si="1"/>
        <v>-7.5999999999999943</v>
      </c>
      <c r="Y6">
        <f t="shared" si="1"/>
        <v>5.5700000000000074</v>
      </c>
      <c r="Z6" s="9">
        <f t="shared" si="1"/>
        <v>-22.659999999999968</v>
      </c>
      <c r="AB6">
        <f t="shared" si="2"/>
        <v>-6.7599999999999909</v>
      </c>
      <c r="AC6">
        <f t="shared" si="2"/>
        <v>4.0400000000000063</v>
      </c>
      <c r="AD6">
        <f t="shared" si="2"/>
        <v>-22.659999999999968</v>
      </c>
      <c r="AF6" s="10">
        <f t="shared" si="4"/>
        <v>164</v>
      </c>
      <c r="AG6" s="10">
        <f t="shared" si="5"/>
        <v>-47</v>
      </c>
      <c r="AH6">
        <f t="shared" si="3"/>
        <v>170.60187572239644</v>
      </c>
    </row>
    <row r="7" spans="1:34" x14ac:dyDescent="0.3">
      <c r="A7">
        <v>6</v>
      </c>
      <c r="C7">
        <v>490</v>
      </c>
      <c r="D7">
        <v>374</v>
      </c>
      <c r="F7">
        <v>-186.64</v>
      </c>
      <c r="G7">
        <v>6.24</v>
      </c>
      <c r="H7">
        <v>788</v>
      </c>
      <c r="J7">
        <v>-190</v>
      </c>
      <c r="K7">
        <v>8</v>
      </c>
      <c r="L7">
        <v>788</v>
      </c>
      <c r="N7">
        <v>-182.66</v>
      </c>
      <c r="O7">
        <v>3.76</v>
      </c>
      <c r="P7">
        <v>764.4</v>
      </c>
      <c r="R7">
        <f t="shared" si="0"/>
        <v>785.93013251815205</v>
      </c>
      <c r="T7" s="3">
        <v>205.01</v>
      </c>
      <c r="U7" s="3">
        <v>656.1</v>
      </c>
      <c r="V7" s="3">
        <v>49.53</v>
      </c>
      <c r="X7">
        <f t="shared" si="1"/>
        <v>3.9799999999999898</v>
      </c>
      <c r="Y7">
        <f t="shared" si="1"/>
        <v>-2.4800000000000004</v>
      </c>
      <c r="Z7" s="9">
        <f t="shared" si="1"/>
        <v>-23.600000000000023</v>
      </c>
      <c r="AB7">
        <f t="shared" si="2"/>
        <v>7.3400000000000034</v>
      </c>
      <c r="AC7">
        <f t="shared" si="2"/>
        <v>-4.24</v>
      </c>
      <c r="AD7">
        <f t="shared" si="2"/>
        <v>-23.600000000000023</v>
      </c>
      <c r="AF7" s="10">
        <f t="shared" si="4"/>
        <v>-150</v>
      </c>
      <c r="AG7" s="10">
        <f t="shared" si="5"/>
        <v>14</v>
      </c>
      <c r="AH7">
        <f t="shared" si="3"/>
        <v>150.65191668213185</v>
      </c>
    </row>
    <row r="8" spans="1:34" x14ac:dyDescent="0.3">
      <c r="A8">
        <v>7</v>
      </c>
      <c r="C8">
        <v>572</v>
      </c>
      <c r="D8">
        <v>374</v>
      </c>
      <c r="F8">
        <v>-81.95</v>
      </c>
      <c r="G8">
        <v>6.24</v>
      </c>
      <c r="H8">
        <v>788</v>
      </c>
      <c r="J8">
        <v>-85</v>
      </c>
      <c r="K8">
        <v>8</v>
      </c>
      <c r="L8">
        <v>788</v>
      </c>
      <c r="N8">
        <v>-81.17</v>
      </c>
      <c r="O8">
        <v>5.91</v>
      </c>
      <c r="P8">
        <v>763.09</v>
      </c>
      <c r="R8">
        <f t="shared" si="0"/>
        <v>767.41764711270491</v>
      </c>
      <c r="T8" s="3">
        <v>103.49</v>
      </c>
      <c r="U8" s="3">
        <v>656.43</v>
      </c>
      <c r="V8" s="3">
        <v>49.35</v>
      </c>
      <c r="X8">
        <f t="shared" si="1"/>
        <v>0.78000000000000114</v>
      </c>
      <c r="Y8">
        <f t="shared" si="1"/>
        <v>-0.33000000000000007</v>
      </c>
      <c r="Z8" s="9">
        <f t="shared" si="1"/>
        <v>-24.909999999999968</v>
      </c>
      <c r="AB8">
        <f t="shared" si="2"/>
        <v>3.8299999999999983</v>
      </c>
      <c r="AC8">
        <f t="shared" si="2"/>
        <v>-2.09</v>
      </c>
      <c r="AD8">
        <f t="shared" si="2"/>
        <v>-24.909999999999968</v>
      </c>
      <c r="AF8" s="10">
        <f t="shared" si="4"/>
        <v>-68</v>
      </c>
      <c r="AG8" s="10">
        <f t="shared" si="5"/>
        <v>14</v>
      </c>
      <c r="AH8">
        <f t="shared" si="3"/>
        <v>69.426219830839131</v>
      </c>
    </row>
    <row r="9" spans="1:34" x14ac:dyDescent="0.3">
      <c r="A9">
        <v>8</v>
      </c>
      <c r="C9">
        <v>652</v>
      </c>
      <c r="D9">
        <v>374</v>
      </c>
      <c r="F9">
        <v>20.18</v>
      </c>
      <c r="G9">
        <v>6.24</v>
      </c>
      <c r="H9">
        <v>788</v>
      </c>
      <c r="J9">
        <v>19</v>
      </c>
      <c r="K9">
        <v>8</v>
      </c>
      <c r="L9">
        <v>788</v>
      </c>
      <c r="N9">
        <v>17.829999999999998</v>
      </c>
      <c r="O9">
        <v>6.59</v>
      </c>
      <c r="P9">
        <v>762.06</v>
      </c>
      <c r="R9">
        <f t="shared" si="0"/>
        <v>762.29704223484953</v>
      </c>
      <c r="T9" s="3">
        <v>4.4800000000000004</v>
      </c>
      <c r="U9" s="3">
        <v>655.45</v>
      </c>
      <c r="V9" s="3">
        <v>49.79</v>
      </c>
      <c r="X9">
        <f t="shared" si="1"/>
        <v>-2.3500000000000014</v>
      </c>
      <c r="Y9">
        <f t="shared" si="1"/>
        <v>0.34999999999999964</v>
      </c>
      <c r="Z9" s="9">
        <f t="shared" si="1"/>
        <v>-25.940000000000055</v>
      </c>
      <c r="AB9">
        <f t="shared" si="2"/>
        <v>-1.1700000000000017</v>
      </c>
      <c r="AC9">
        <f t="shared" si="2"/>
        <v>-1.4100000000000001</v>
      </c>
      <c r="AD9">
        <f t="shared" si="2"/>
        <v>-25.940000000000055</v>
      </c>
      <c r="AF9" s="10">
        <f t="shared" si="4"/>
        <v>12</v>
      </c>
      <c r="AG9" s="10">
        <f t="shared" si="5"/>
        <v>14</v>
      </c>
      <c r="AH9">
        <f t="shared" si="3"/>
        <v>18.439088914585774</v>
      </c>
    </row>
    <row r="10" spans="1:34" x14ac:dyDescent="0.3">
      <c r="A10">
        <v>9</v>
      </c>
      <c r="C10">
        <v>733</v>
      </c>
      <c r="D10">
        <v>375</v>
      </c>
      <c r="F10">
        <v>123.13</v>
      </c>
      <c r="G10">
        <v>7.49</v>
      </c>
      <c r="H10">
        <v>785</v>
      </c>
      <c r="J10">
        <v>123</v>
      </c>
      <c r="K10">
        <v>9</v>
      </c>
      <c r="L10">
        <v>785</v>
      </c>
      <c r="N10">
        <v>117.47</v>
      </c>
      <c r="O10">
        <v>8.9</v>
      </c>
      <c r="P10">
        <v>760.07</v>
      </c>
      <c r="R10">
        <f t="shared" si="0"/>
        <v>769.1455101604638</v>
      </c>
      <c r="T10" s="3">
        <v>-95.2</v>
      </c>
      <c r="U10" s="3">
        <v>656.34</v>
      </c>
      <c r="V10" s="3">
        <v>50.07</v>
      </c>
      <c r="X10">
        <f t="shared" si="1"/>
        <v>-5.6599999999999966</v>
      </c>
      <c r="Y10">
        <f t="shared" si="1"/>
        <v>1.4100000000000001</v>
      </c>
      <c r="Z10" s="9">
        <f t="shared" si="1"/>
        <v>-24.92999999999995</v>
      </c>
      <c r="AB10">
        <f t="shared" si="2"/>
        <v>-5.5300000000000011</v>
      </c>
      <c r="AC10">
        <f t="shared" si="2"/>
        <v>-9.9999999999999645E-2</v>
      </c>
      <c r="AD10">
        <f t="shared" si="2"/>
        <v>-24.92999999999995</v>
      </c>
      <c r="AF10" s="10">
        <f t="shared" si="4"/>
        <v>93</v>
      </c>
      <c r="AG10" s="10">
        <f t="shared" si="5"/>
        <v>15</v>
      </c>
      <c r="AH10">
        <f t="shared" si="3"/>
        <v>94.201910808645493</v>
      </c>
    </row>
    <row r="11" spans="1:34" x14ac:dyDescent="0.3">
      <c r="A11">
        <v>10</v>
      </c>
      <c r="C11">
        <v>814</v>
      </c>
      <c r="D11">
        <v>376</v>
      </c>
      <c r="F11">
        <v>225.29</v>
      </c>
      <c r="G11">
        <v>8.73</v>
      </c>
      <c r="H11">
        <v>782</v>
      </c>
      <c r="J11">
        <v>225</v>
      </c>
      <c r="K11">
        <v>10</v>
      </c>
      <c r="L11">
        <v>782</v>
      </c>
      <c r="N11">
        <v>217.74</v>
      </c>
      <c r="O11">
        <v>10.49</v>
      </c>
      <c r="P11">
        <v>758.62</v>
      </c>
      <c r="R11">
        <f t="shared" si="0"/>
        <v>789.3193600184909</v>
      </c>
      <c r="T11" s="3">
        <v>-195.23</v>
      </c>
      <c r="U11" s="3">
        <v>656.33</v>
      </c>
      <c r="V11" s="3">
        <v>50.33</v>
      </c>
      <c r="X11">
        <f t="shared" si="1"/>
        <v>-7.5499999999999829</v>
      </c>
      <c r="Y11">
        <f t="shared" si="1"/>
        <v>1.7599999999999998</v>
      </c>
      <c r="Z11" s="9">
        <f t="shared" si="1"/>
        <v>-23.379999999999995</v>
      </c>
      <c r="AB11">
        <f t="shared" si="2"/>
        <v>-7.2599999999999909</v>
      </c>
      <c r="AC11">
        <f t="shared" si="2"/>
        <v>0.49000000000000021</v>
      </c>
      <c r="AD11">
        <f t="shared" si="2"/>
        <v>-23.379999999999995</v>
      </c>
      <c r="AF11" s="10">
        <f t="shared" si="4"/>
        <v>174</v>
      </c>
      <c r="AG11" s="10">
        <f t="shared" si="5"/>
        <v>16</v>
      </c>
      <c r="AH11">
        <f t="shared" si="3"/>
        <v>174.73408368146153</v>
      </c>
    </row>
    <row r="12" spans="1:34" x14ac:dyDescent="0.3">
      <c r="A12">
        <v>11</v>
      </c>
      <c r="C12">
        <v>477</v>
      </c>
      <c r="D12">
        <v>446</v>
      </c>
      <c r="F12">
        <v>-188.54</v>
      </c>
      <c r="G12">
        <v>91.42</v>
      </c>
      <c r="H12">
        <v>731</v>
      </c>
      <c r="J12">
        <v>-191</v>
      </c>
      <c r="K12">
        <v>93</v>
      </c>
      <c r="L12">
        <v>731</v>
      </c>
      <c r="N12">
        <v>-184.39</v>
      </c>
      <c r="O12">
        <v>85.96</v>
      </c>
      <c r="P12">
        <v>706.75</v>
      </c>
      <c r="R12">
        <f t="shared" si="0"/>
        <v>735.44840485244106</v>
      </c>
      <c r="T12" s="5">
        <v>204.58</v>
      </c>
      <c r="U12" s="5">
        <v>756.51</v>
      </c>
      <c r="V12" s="5">
        <v>49.06</v>
      </c>
      <c r="X12">
        <f t="shared" si="1"/>
        <v>4.1500000000000057</v>
      </c>
      <c r="Y12">
        <f t="shared" si="1"/>
        <v>-5.460000000000008</v>
      </c>
      <c r="Z12" s="9">
        <f t="shared" si="1"/>
        <v>-24.25</v>
      </c>
      <c r="AB12">
        <f t="shared" si="2"/>
        <v>6.6100000000000136</v>
      </c>
      <c r="AC12">
        <f t="shared" si="2"/>
        <v>-7.0400000000000063</v>
      </c>
      <c r="AD12">
        <f t="shared" si="2"/>
        <v>-24.25</v>
      </c>
      <c r="AF12" s="10">
        <f t="shared" si="4"/>
        <v>-163</v>
      </c>
      <c r="AG12" s="10">
        <f t="shared" si="5"/>
        <v>86</v>
      </c>
      <c r="AH12">
        <f t="shared" si="3"/>
        <v>184.29595763336752</v>
      </c>
    </row>
    <row r="13" spans="1:34" x14ac:dyDescent="0.3">
      <c r="A13">
        <v>12</v>
      </c>
      <c r="C13">
        <v>567</v>
      </c>
      <c r="D13">
        <v>447</v>
      </c>
      <c r="F13">
        <v>-81.72</v>
      </c>
      <c r="G13">
        <v>92.35</v>
      </c>
      <c r="H13">
        <v>729</v>
      </c>
      <c r="J13">
        <v>-84</v>
      </c>
      <c r="K13">
        <v>94</v>
      </c>
      <c r="L13">
        <v>729</v>
      </c>
      <c r="N13">
        <v>-81.63</v>
      </c>
      <c r="O13">
        <v>87.26</v>
      </c>
      <c r="P13">
        <v>705.64</v>
      </c>
      <c r="R13">
        <f t="shared" si="0"/>
        <v>715.68538765298263</v>
      </c>
      <c r="T13" s="5">
        <v>101.81</v>
      </c>
      <c r="U13" s="5">
        <v>756.01</v>
      </c>
      <c r="V13" s="5">
        <v>49.21</v>
      </c>
      <c r="X13">
        <f t="shared" si="1"/>
        <v>9.0000000000003411E-2</v>
      </c>
      <c r="Y13">
        <f t="shared" si="1"/>
        <v>-5.0899999999999892</v>
      </c>
      <c r="Z13" s="9">
        <f t="shared" si="1"/>
        <v>-23.360000000000014</v>
      </c>
      <c r="AB13">
        <f t="shared" si="2"/>
        <v>2.3700000000000045</v>
      </c>
      <c r="AC13">
        <f t="shared" si="2"/>
        <v>-6.7399999999999949</v>
      </c>
      <c r="AD13">
        <f t="shared" si="2"/>
        <v>-23.360000000000014</v>
      </c>
      <c r="AF13" s="10">
        <f t="shared" si="4"/>
        <v>-73</v>
      </c>
      <c r="AG13" s="10">
        <f t="shared" si="5"/>
        <v>87</v>
      </c>
      <c r="AH13">
        <f t="shared" si="3"/>
        <v>113.56936206565572</v>
      </c>
    </row>
    <row r="14" spans="1:34" x14ac:dyDescent="0.3">
      <c r="A14">
        <v>13</v>
      </c>
      <c r="C14">
        <v>652</v>
      </c>
      <c r="D14">
        <v>447</v>
      </c>
      <c r="F14">
        <v>18.62</v>
      </c>
      <c r="G14">
        <v>92.1</v>
      </c>
      <c r="H14">
        <v>727</v>
      </c>
      <c r="J14">
        <v>17</v>
      </c>
      <c r="K14">
        <v>94</v>
      </c>
      <c r="L14">
        <v>727</v>
      </c>
      <c r="N14">
        <v>16.05</v>
      </c>
      <c r="O14">
        <v>89.1</v>
      </c>
      <c r="P14">
        <v>704.37</v>
      </c>
      <c r="R14">
        <f t="shared" si="0"/>
        <v>710.16442420048043</v>
      </c>
      <c r="T14" s="5">
        <v>4.09</v>
      </c>
      <c r="U14" s="5">
        <v>756.14</v>
      </c>
      <c r="V14" s="5">
        <v>49.17</v>
      </c>
      <c r="X14">
        <f t="shared" si="1"/>
        <v>-2.5700000000000003</v>
      </c>
      <c r="Y14">
        <f t="shared" si="1"/>
        <v>-3</v>
      </c>
      <c r="Z14" s="9">
        <f t="shared" si="1"/>
        <v>-22.629999999999995</v>
      </c>
      <c r="AB14">
        <f t="shared" si="2"/>
        <v>-0.94999999999999929</v>
      </c>
      <c r="AC14">
        <f t="shared" si="2"/>
        <v>-4.9000000000000057</v>
      </c>
      <c r="AD14">
        <f t="shared" si="2"/>
        <v>-22.629999999999995</v>
      </c>
      <c r="AF14" s="10">
        <f t="shared" si="4"/>
        <v>12</v>
      </c>
      <c r="AG14" s="10">
        <f t="shared" si="5"/>
        <v>87</v>
      </c>
      <c r="AH14">
        <f t="shared" si="3"/>
        <v>87.823687009826685</v>
      </c>
    </row>
    <row r="15" spans="1:34" x14ac:dyDescent="0.3">
      <c r="A15">
        <v>14</v>
      </c>
      <c r="C15">
        <v>740</v>
      </c>
      <c r="D15">
        <v>449</v>
      </c>
      <c r="F15" s="7">
        <v>121.94</v>
      </c>
      <c r="G15">
        <v>94.21</v>
      </c>
      <c r="H15">
        <v>725</v>
      </c>
      <c r="J15">
        <v>121</v>
      </c>
      <c r="K15">
        <v>96</v>
      </c>
      <c r="L15">
        <v>725</v>
      </c>
      <c r="N15">
        <v>116.93</v>
      </c>
      <c r="O15">
        <v>91.72</v>
      </c>
      <c r="P15">
        <v>702.49</v>
      </c>
      <c r="R15">
        <f t="shared" si="0"/>
        <v>718.03717410730201</v>
      </c>
      <c r="T15" s="5">
        <v>-96.83</v>
      </c>
      <c r="U15" s="5">
        <v>757.2</v>
      </c>
      <c r="V15" s="5">
        <v>49.19</v>
      </c>
      <c r="X15">
        <f t="shared" si="1"/>
        <v>-5.0099999999999909</v>
      </c>
      <c r="Y15">
        <f t="shared" si="1"/>
        <v>-2.4899999999999949</v>
      </c>
      <c r="Z15" s="9">
        <f t="shared" si="1"/>
        <v>-22.509999999999991</v>
      </c>
      <c r="AB15">
        <f t="shared" si="2"/>
        <v>-4.0699999999999932</v>
      </c>
      <c r="AC15">
        <f t="shared" si="2"/>
        <v>-4.2800000000000011</v>
      </c>
      <c r="AD15">
        <f t="shared" si="2"/>
        <v>-22.509999999999991</v>
      </c>
      <c r="AF15" s="10">
        <f t="shared" si="4"/>
        <v>100</v>
      </c>
      <c r="AG15" s="10">
        <f t="shared" si="5"/>
        <v>89</v>
      </c>
      <c r="AH15">
        <f t="shared" si="3"/>
        <v>133.86933928274988</v>
      </c>
    </row>
    <row r="16" spans="1:34" x14ac:dyDescent="0.3">
      <c r="A16">
        <v>15</v>
      </c>
      <c r="C16">
        <v>828</v>
      </c>
      <c r="D16">
        <v>449</v>
      </c>
      <c r="F16">
        <v>225.31</v>
      </c>
      <c r="G16">
        <v>94.21</v>
      </c>
      <c r="H16">
        <v>725</v>
      </c>
      <c r="J16">
        <v>224</v>
      </c>
      <c r="K16">
        <v>96</v>
      </c>
      <c r="L16">
        <v>725</v>
      </c>
      <c r="N16">
        <v>214.82</v>
      </c>
      <c r="O16">
        <v>91.79</v>
      </c>
      <c r="P16">
        <v>701.09</v>
      </c>
      <c r="R16">
        <f t="shared" si="0"/>
        <v>738.9859434387098</v>
      </c>
      <c r="T16" s="5">
        <v>-194.72</v>
      </c>
      <c r="U16" s="5">
        <v>755.96</v>
      </c>
      <c r="V16" s="5">
        <v>50.28</v>
      </c>
      <c r="X16">
        <f t="shared" si="1"/>
        <v>-10.490000000000009</v>
      </c>
      <c r="Y16">
        <f t="shared" si="1"/>
        <v>-2.4199999999999875</v>
      </c>
      <c r="Z16" s="9">
        <f t="shared" si="1"/>
        <v>-23.909999999999968</v>
      </c>
      <c r="AB16">
        <f t="shared" si="2"/>
        <v>-9.1800000000000068</v>
      </c>
      <c r="AC16">
        <f t="shared" si="2"/>
        <v>-4.2099999999999937</v>
      </c>
      <c r="AD16">
        <f t="shared" si="2"/>
        <v>-23.909999999999968</v>
      </c>
      <c r="AF16" s="10">
        <f t="shared" si="4"/>
        <v>188</v>
      </c>
      <c r="AG16" s="10">
        <f t="shared" si="5"/>
        <v>89</v>
      </c>
      <c r="AH16">
        <f t="shared" si="3"/>
        <v>208.00240383226344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selection activeCell="Z2" sqref="Z2:Z16"/>
    </sheetView>
  </sheetViews>
  <sheetFormatPr baseColWidth="10" defaultColWidth="8.88671875" defaultRowHeight="14.4" x14ac:dyDescent="0.3"/>
  <sheetData>
    <row r="1" spans="1:34" x14ac:dyDescent="0.3">
      <c r="A1" s="13"/>
      <c r="B1" t="s">
        <v>0</v>
      </c>
      <c r="C1" t="s">
        <v>1</v>
      </c>
      <c r="D1" t="s">
        <v>2</v>
      </c>
      <c r="E1" t="s">
        <v>6</v>
      </c>
      <c r="F1" t="s">
        <v>1</v>
      </c>
      <c r="G1" t="s">
        <v>2</v>
      </c>
      <c r="H1" t="s">
        <v>3</v>
      </c>
      <c r="I1" t="s">
        <v>9</v>
      </c>
      <c r="J1" t="s">
        <v>1</v>
      </c>
      <c r="K1" t="s">
        <v>2</v>
      </c>
      <c r="L1" t="s">
        <v>3</v>
      </c>
      <c r="M1" t="s">
        <v>7</v>
      </c>
      <c r="N1" t="s">
        <v>1</v>
      </c>
      <c r="O1" t="s">
        <v>2</v>
      </c>
      <c r="P1" t="s">
        <v>3</v>
      </c>
      <c r="Q1" t="s">
        <v>8</v>
      </c>
      <c r="S1" t="s">
        <v>10</v>
      </c>
      <c r="T1" t="s">
        <v>1</v>
      </c>
      <c r="U1" t="s">
        <v>2</v>
      </c>
      <c r="V1" t="s">
        <v>3</v>
      </c>
      <c r="W1" t="s">
        <v>4</v>
      </c>
      <c r="X1" t="s">
        <v>1</v>
      </c>
      <c r="Y1" t="s">
        <v>2</v>
      </c>
      <c r="Z1" t="s">
        <v>3</v>
      </c>
      <c r="AA1" t="s">
        <v>5</v>
      </c>
      <c r="AB1" t="s">
        <v>1</v>
      </c>
      <c r="AC1" t="s">
        <v>2</v>
      </c>
      <c r="AD1" t="s">
        <v>3</v>
      </c>
      <c r="AE1" t="s">
        <v>11</v>
      </c>
      <c r="AF1" t="s">
        <v>1</v>
      </c>
      <c r="AG1" t="s">
        <v>2</v>
      </c>
      <c r="AH1" t="s">
        <v>12</v>
      </c>
    </row>
    <row r="2" spans="1:34" x14ac:dyDescent="0.3">
      <c r="A2">
        <v>1</v>
      </c>
      <c r="C2">
        <v>500</v>
      </c>
      <c r="D2">
        <v>312</v>
      </c>
      <c r="F2">
        <v>-185.79</v>
      </c>
      <c r="G2">
        <v>-78.260000000000005</v>
      </c>
      <c r="H2">
        <v>842</v>
      </c>
      <c r="J2">
        <v>-189</v>
      </c>
      <c r="K2">
        <v>-77</v>
      </c>
      <c r="L2">
        <v>842</v>
      </c>
      <c r="N2">
        <v>-179.81</v>
      </c>
      <c r="O2">
        <v>-76.98</v>
      </c>
      <c r="P2">
        <v>820.82</v>
      </c>
      <c r="R2">
        <f t="shared" ref="R2:R16" si="0" xml:space="preserve"> (N2^2+O2^2+P2^2)^0.5</f>
        <v>843.80271918262986</v>
      </c>
      <c r="T2" s="4">
        <v>204.27</v>
      </c>
      <c r="U2" s="4">
        <v>557.55999999999995</v>
      </c>
      <c r="V2" s="4">
        <v>50.16</v>
      </c>
      <c r="X2">
        <f t="shared" ref="X2:Z16" si="1">N2-F2</f>
        <v>5.9799999999999898</v>
      </c>
      <c r="Y2">
        <f t="shared" si="1"/>
        <v>1.2800000000000011</v>
      </c>
      <c r="Z2" s="9">
        <f t="shared" si="1"/>
        <v>-21.17999999999995</v>
      </c>
      <c r="AB2">
        <f t="shared" ref="AB2:AD16" si="2">N2-J2</f>
        <v>9.1899999999999977</v>
      </c>
      <c r="AC2">
        <f t="shared" si="2"/>
        <v>1.9999999999996021E-2</v>
      </c>
      <c r="AD2">
        <f t="shared" si="2"/>
        <v>-21.17999999999995</v>
      </c>
      <c r="AF2" s="10">
        <f>C2-640</f>
        <v>-140</v>
      </c>
      <c r="AG2" s="10">
        <f>D2-360</f>
        <v>-48</v>
      </c>
      <c r="AH2">
        <f t="shared" ref="AH2:AH16" si="3">((C2-640)^2+(D2-360)^2)^0.5</f>
        <v>148</v>
      </c>
    </row>
    <row r="3" spans="1:34" x14ac:dyDescent="0.3">
      <c r="A3">
        <v>2</v>
      </c>
      <c r="C3">
        <v>577</v>
      </c>
      <c r="D3">
        <v>312</v>
      </c>
      <c r="F3">
        <v>-80.84</v>
      </c>
      <c r="G3">
        <v>-78.349999999999994</v>
      </c>
      <c r="H3">
        <v>843</v>
      </c>
      <c r="J3">
        <v>-84</v>
      </c>
      <c r="K3">
        <v>-77</v>
      </c>
      <c r="L3">
        <v>843</v>
      </c>
      <c r="N3">
        <v>-79.63</v>
      </c>
      <c r="O3">
        <v>-75.44</v>
      </c>
      <c r="P3">
        <v>819.91</v>
      </c>
      <c r="R3">
        <f t="shared" si="0"/>
        <v>827.21492890300283</v>
      </c>
      <c r="T3" s="4">
        <v>104.08</v>
      </c>
      <c r="U3" s="4">
        <v>557.19000000000005</v>
      </c>
      <c r="V3" s="4">
        <v>50.01</v>
      </c>
      <c r="X3">
        <f t="shared" si="1"/>
        <v>1.210000000000008</v>
      </c>
      <c r="Y3">
        <f t="shared" si="1"/>
        <v>2.9099999999999966</v>
      </c>
      <c r="Z3" s="9">
        <f t="shared" si="1"/>
        <v>-23.090000000000032</v>
      </c>
      <c r="AB3">
        <f t="shared" si="2"/>
        <v>4.3700000000000045</v>
      </c>
      <c r="AC3">
        <f t="shared" si="2"/>
        <v>1.5600000000000023</v>
      </c>
      <c r="AD3">
        <f t="shared" si="2"/>
        <v>-23.090000000000032</v>
      </c>
      <c r="AF3" s="10">
        <f t="shared" ref="AF3:AF16" si="4">C3-640</f>
        <v>-63</v>
      </c>
      <c r="AG3" s="10">
        <f t="shared" ref="AG3:AG16" si="5">D3-360</f>
        <v>-48</v>
      </c>
      <c r="AH3">
        <f t="shared" si="3"/>
        <v>79.202272694664515</v>
      </c>
    </row>
    <row r="4" spans="1:34" x14ac:dyDescent="0.3">
      <c r="A4">
        <v>3</v>
      </c>
      <c r="C4">
        <v>651</v>
      </c>
      <c r="D4">
        <v>313</v>
      </c>
      <c r="F4">
        <v>20.13</v>
      </c>
      <c r="G4">
        <v>-76.62</v>
      </c>
      <c r="H4">
        <v>839</v>
      </c>
      <c r="J4">
        <v>18</v>
      </c>
      <c r="K4">
        <v>-75</v>
      </c>
      <c r="L4">
        <v>839</v>
      </c>
      <c r="N4">
        <v>19.47</v>
      </c>
      <c r="O4">
        <v>-73.42</v>
      </c>
      <c r="P4">
        <v>819.38</v>
      </c>
      <c r="R4">
        <f t="shared" si="0"/>
        <v>822.89316542307006</v>
      </c>
      <c r="T4" s="4">
        <v>4.95</v>
      </c>
      <c r="U4" s="4">
        <v>557.01</v>
      </c>
      <c r="V4" s="4">
        <v>49.27</v>
      </c>
      <c r="X4">
        <f t="shared" si="1"/>
        <v>-0.66000000000000014</v>
      </c>
      <c r="Y4">
        <f t="shared" si="1"/>
        <v>3.2000000000000028</v>
      </c>
      <c r="Z4" s="9">
        <f t="shared" si="1"/>
        <v>-19.620000000000005</v>
      </c>
      <c r="AB4">
        <f t="shared" si="2"/>
        <v>1.4699999999999989</v>
      </c>
      <c r="AC4">
        <f t="shared" si="2"/>
        <v>1.5799999999999983</v>
      </c>
      <c r="AD4">
        <f t="shared" si="2"/>
        <v>-19.620000000000005</v>
      </c>
      <c r="AF4" s="10">
        <f t="shared" si="4"/>
        <v>11</v>
      </c>
      <c r="AG4" s="10">
        <f t="shared" si="5"/>
        <v>-47</v>
      </c>
      <c r="AH4">
        <f t="shared" si="3"/>
        <v>48.270073544588683</v>
      </c>
    </row>
    <row r="5" spans="1:34" x14ac:dyDescent="0.3">
      <c r="A5">
        <v>4</v>
      </c>
      <c r="C5">
        <v>727</v>
      </c>
      <c r="D5">
        <v>313</v>
      </c>
      <c r="F5">
        <v>123.15</v>
      </c>
      <c r="G5">
        <v>-76.44</v>
      </c>
      <c r="H5">
        <v>837</v>
      </c>
      <c r="J5">
        <v>123</v>
      </c>
      <c r="K5">
        <v>-75</v>
      </c>
      <c r="L5">
        <v>837</v>
      </c>
      <c r="N5">
        <v>118.42</v>
      </c>
      <c r="O5">
        <v>-72.14</v>
      </c>
      <c r="P5">
        <v>816.55</v>
      </c>
      <c r="R5">
        <f t="shared" si="0"/>
        <v>828.23992810054744</v>
      </c>
      <c r="T5" s="4">
        <v>-94.03</v>
      </c>
      <c r="U5" s="4">
        <v>557.55999999999995</v>
      </c>
      <c r="V5" s="4">
        <v>50.83</v>
      </c>
      <c r="X5">
        <f t="shared" si="1"/>
        <v>-4.730000000000004</v>
      </c>
      <c r="Y5">
        <f t="shared" si="1"/>
        <v>4.2999999999999972</v>
      </c>
      <c r="Z5" s="9">
        <f t="shared" si="1"/>
        <v>-20.450000000000045</v>
      </c>
      <c r="AB5">
        <f t="shared" si="2"/>
        <v>-4.5799999999999983</v>
      </c>
      <c r="AC5">
        <f t="shared" si="2"/>
        <v>2.8599999999999994</v>
      </c>
      <c r="AD5">
        <f t="shared" si="2"/>
        <v>-20.450000000000045</v>
      </c>
      <c r="AF5" s="10">
        <f t="shared" si="4"/>
        <v>87</v>
      </c>
      <c r="AG5" s="10">
        <f t="shared" si="5"/>
        <v>-47</v>
      </c>
      <c r="AH5">
        <f t="shared" si="3"/>
        <v>98.883770154661889</v>
      </c>
    </row>
    <row r="6" spans="1:34" x14ac:dyDescent="0.3">
      <c r="A6">
        <v>5</v>
      </c>
      <c r="C6">
        <v>805</v>
      </c>
      <c r="D6">
        <v>313</v>
      </c>
      <c r="F6">
        <v>227.56</v>
      </c>
      <c r="G6">
        <v>-75.98</v>
      </c>
      <c r="H6">
        <v>832</v>
      </c>
      <c r="J6">
        <v>227</v>
      </c>
      <c r="K6">
        <v>-74</v>
      </c>
      <c r="L6">
        <v>832</v>
      </c>
      <c r="N6">
        <v>221.06</v>
      </c>
      <c r="O6">
        <v>-69.77</v>
      </c>
      <c r="P6">
        <v>814.82</v>
      </c>
      <c r="R6">
        <f t="shared" si="0"/>
        <v>847.15229380554717</v>
      </c>
      <c r="T6" s="4">
        <v>-196.71</v>
      </c>
      <c r="U6" s="4">
        <v>558.29</v>
      </c>
      <c r="V6" s="4">
        <v>50.87</v>
      </c>
      <c r="X6">
        <f t="shared" si="1"/>
        <v>-6.5</v>
      </c>
      <c r="Y6">
        <f t="shared" si="1"/>
        <v>6.210000000000008</v>
      </c>
      <c r="Z6" s="9">
        <f t="shared" si="1"/>
        <v>-17.17999999999995</v>
      </c>
      <c r="AB6">
        <f t="shared" si="2"/>
        <v>-5.9399999999999977</v>
      </c>
      <c r="AC6">
        <f t="shared" si="2"/>
        <v>4.230000000000004</v>
      </c>
      <c r="AD6">
        <f t="shared" si="2"/>
        <v>-17.17999999999995</v>
      </c>
      <c r="AF6" s="10">
        <f t="shared" si="4"/>
        <v>165</v>
      </c>
      <c r="AG6" s="10">
        <f t="shared" si="5"/>
        <v>-47</v>
      </c>
      <c r="AH6">
        <f t="shared" si="3"/>
        <v>171.56339936011994</v>
      </c>
    </row>
    <row r="7" spans="1:34" x14ac:dyDescent="0.3">
      <c r="A7">
        <v>6</v>
      </c>
      <c r="C7">
        <v>489</v>
      </c>
      <c r="D7">
        <v>374</v>
      </c>
      <c r="F7">
        <v>-186.73</v>
      </c>
      <c r="G7">
        <v>6.2</v>
      </c>
      <c r="H7">
        <v>783</v>
      </c>
      <c r="J7">
        <v>-190</v>
      </c>
      <c r="K7">
        <v>8</v>
      </c>
      <c r="L7">
        <v>783</v>
      </c>
      <c r="N7">
        <v>-182.72</v>
      </c>
      <c r="O7">
        <v>4.18</v>
      </c>
      <c r="P7">
        <v>763.92</v>
      </c>
      <c r="R7">
        <f t="shared" si="0"/>
        <v>785.47936777486393</v>
      </c>
      <c r="T7" s="3">
        <v>205.05</v>
      </c>
      <c r="U7" s="3">
        <v>656.72</v>
      </c>
      <c r="V7" s="3">
        <v>49.68</v>
      </c>
      <c r="X7">
        <f t="shared" si="1"/>
        <v>4.0099999999999909</v>
      </c>
      <c r="Y7">
        <f t="shared" si="1"/>
        <v>-2.0200000000000005</v>
      </c>
      <c r="Z7" s="9">
        <f t="shared" si="1"/>
        <v>-19.080000000000041</v>
      </c>
      <c r="AB7">
        <f t="shared" si="2"/>
        <v>7.2800000000000011</v>
      </c>
      <c r="AC7">
        <f t="shared" si="2"/>
        <v>-3.8200000000000003</v>
      </c>
      <c r="AD7">
        <f t="shared" si="2"/>
        <v>-19.080000000000041</v>
      </c>
      <c r="AF7" s="10">
        <f t="shared" si="4"/>
        <v>-151</v>
      </c>
      <c r="AG7" s="10">
        <f t="shared" si="5"/>
        <v>14</v>
      </c>
      <c r="AH7">
        <f t="shared" si="3"/>
        <v>151.64761785138597</v>
      </c>
    </row>
    <row r="8" spans="1:34" x14ac:dyDescent="0.3">
      <c r="A8">
        <v>7</v>
      </c>
      <c r="C8">
        <v>571</v>
      </c>
      <c r="D8">
        <v>374</v>
      </c>
      <c r="F8">
        <v>-82.7</v>
      </c>
      <c r="G8">
        <v>6.2</v>
      </c>
      <c r="H8">
        <v>783</v>
      </c>
      <c r="J8">
        <v>-85</v>
      </c>
      <c r="K8">
        <v>8</v>
      </c>
      <c r="L8">
        <v>783</v>
      </c>
      <c r="N8">
        <v>-81.61</v>
      </c>
      <c r="O8">
        <v>5.0599999999999996</v>
      </c>
      <c r="P8">
        <v>763.15</v>
      </c>
      <c r="R8">
        <f t="shared" si="0"/>
        <v>767.51789438422873</v>
      </c>
      <c r="T8" s="3">
        <v>103.94</v>
      </c>
      <c r="U8" s="3">
        <v>655.71</v>
      </c>
      <c r="V8" s="3">
        <v>49.79</v>
      </c>
      <c r="X8">
        <f t="shared" si="1"/>
        <v>1.0900000000000034</v>
      </c>
      <c r="Y8">
        <f t="shared" si="1"/>
        <v>-1.1400000000000006</v>
      </c>
      <c r="Z8" s="9">
        <f t="shared" si="1"/>
        <v>-19.850000000000023</v>
      </c>
      <c r="AB8">
        <f t="shared" si="2"/>
        <v>3.3900000000000006</v>
      </c>
      <c r="AC8">
        <f t="shared" si="2"/>
        <v>-2.9400000000000004</v>
      </c>
      <c r="AD8">
        <f t="shared" si="2"/>
        <v>-19.850000000000023</v>
      </c>
      <c r="AF8" s="10">
        <f t="shared" si="4"/>
        <v>-69</v>
      </c>
      <c r="AG8" s="10">
        <f t="shared" si="5"/>
        <v>14</v>
      </c>
      <c r="AH8">
        <f t="shared" si="3"/>
        <v>70.405965656327737</v>
      </c>
    </row>
    <row r="9" spans="1:34" x14ac:dyDescent="0.3">
      <c r="A9">
        <v>8</v>
      </c>
      <c r="C9">
        <v>652</v>
      </c>
      <c r="D9">
        <v>374</v>
      </c>
      <c r="F9">
        <v>20.079999999999998</v>
      </c>
      <c r="G9">
        <v>6.2</v>
      </c>
      <c r="H9">
        <v>784</v>
      </c>
      <c r="J9">
        <v>19</v>
      </c>
      <c r="K9">
        <v>8</v>
      </c>
      <c r="L9">
        <v>784</v>
      </c>
      <c r="N9">
        <v>17.739999999999998</v>
      </c>
      <c r="O9">
        <v>7.04</v>
      </c>
      <c r="P9">
        <v>762.22</v>
      </c>
      <c r="R9">
        <f t="shared" si="0"/>
        <v>762.45891535216504</v>
      </c>
      <c r="T9" s="3">
        <v>4.5599999999999996</v>
      </c>
      <c r="U9" s="3">
        <v>655.73</v>
      </c>
      <c r="V9" s="3">
        <v>49.4</v>
      </c>
      <c r="X9">
        <f t="shared" si="1"/>
        <v>-2.34</v>
      </c>
      <c r="Y9">
        <f t="shared" si="1"/>
        <v>0.83999999999999986</v>
      </c>
      <c r="Z9" s="9">
        <f t="shared" si="1"/>
        <v>-21.779999999999973</v>
      </c>
      <c r="AB9">
        <f t="shared" si="2"/>
        <v>-1.2600000000000016</v>
      </c>
      <c r="AC9">
        <f t="shared" si="2"/>
        <v>-0.96</v>
      </c>
      <c r="AD9">
        <f t="shared" si="2"/>
        <v>-21.779999999999973</v>
      </c>
      <c r="AF9" s="10">
        <f t="shared" si="4"/>
        <v>12</v>
      </c>
      <c r="AG9" s="10">
        <f t="shared" si="5"/>
        <v>14</v>
      </c>
      <c r="AH9">
        <f t="shared" si="3"/>
        <v>18.439088914585774</v>
      </c>
    </row>
    <row r="10" spans="1:34" x14ac:dyDescent="0.3">
      <c r="A10">
        <v>9</v>
      </c>
      <c r="C10">
        <v>733</v>
      </c>
      <c r="D10">
        <v>375</v>
      </c>
      <c r="F10">
        <v>122.34</v>
      </c>
      <c r="G10">
        <v>7.44</v>
      </c>
      <c r="H10">
        <v>780</v>
      </c>
      <c r="J10">
        <v>122</v>
      </c>
      <c r="K10">
        <v>9</v>
      </c>
      <c r="L10">
        <v>780</v>
      </c>
      <c r="N10">
        <v>118.35</v>
      </c>
      <c r="O10">
        <v>8.9499999999999993</v>
      </c>
      <c r="P10">
        <v>759.74</v>
      </c>
      <c r="R10">
        <f t="shared" si="0"/>
        <v>768.95493535057039</v>
      </c>
      <c r="T10" s="3">
        <v>-96.09</v>
      </c>
      <c r="U10" s="3">
        <v>656.56</v>
      </c>
      <c r="V10" s="3">
        <v>50.31</v>
      </c>
      <c r="X10">
        <f t="shared" si="1"/>
        <v>-3.9900000000000091</v>
      </c>
      <c r="Y10">
        <f t="shared" si="1"/>
        <v>1.5099999999999989</v>
      </c>
      <c r="Z10" s="9">
        <f t="shared" si="1"/>
        <v>-20.259999999999991</v>
      </c>
      <c r="AB10">
        <f t="shared" si="2"/>
        <v>-3.6500000000000057</v>
      </c>
      <c r="AC10">
        <f t="shared" si="2"/>
        <v>-5.0000000000000711E-2</v>
      </c>
      <c r="AD10">
        <f t="shared" si="2"/>
        <v>-20.259999999999991</v>
      </c>
      <c r="AF10" s="10">
        <f t="shared" si="4"/>
        <v>93</v>
      </c>
      <c r="AG10" s="10">
        <f t="shared" si="5"/>
        <v>15</v>
      </c>
      <c r="AH10">
        <f t="shared" si="3"/>
        <v>94.201910808645493</v>
      </c>
    </row>
    <row r="11" spans="1:34" x14ac:dyDescent="0.3">
      <c r="A11">
        <v>10</v>
      </c>
      <c r="C11">
        <v>816</v>
      </c>
      <c r="D11">
        <v>375</v>
      </c>
      <c r="F11">
        <v>226.36</v>
      </c>
      <c r="G11">
        <v>7.41</v>
      </c>
      <c r="H11">
        <v>777</v>
      </c>
      <c r="J11">
        <v>226</v>
      </c>
      <c r="K11">
        <v>9</v>
      </c>
      <c r="L11">
        <v>777</v>
      </c>
      <c r="N11">
        <v>218.13</v>
      </c>
      <c r="O11">
        <v>10</v>
      </c>
      <c r="P11">
        <v>758.5</v>
      </c>
      <c r="R11">
        <f t="shared" si="0"/>
        <v>789.30535719707359</v>
      </c>
      <c r="T11" s="3">
        <v>-195.88</v>
      </c>
      <c r="U11" s="3">
        <v>655.99</v>
      </c>
      <c r="V11" s="3">
        <v>50.71</v>
      </c>
      <c r="X11">
        <f t="shared" si="1"/>
        <v>-8.2300000000000182</v>
      </c>
      <c r="Y11">
        <f t="shared" si="1"/>
        <v>2.59</v>
      </c>
      <c r="Z11" s="9">
        <f t="shared" si="1"/>
        <v>-18.5</v>
      </c>
      <c r="AB11">
        <f t="shared" si="2"/>
        <v>-7.8700000000000045</v>
      </c>
      <c r="AC11">
        <f t="shared" si="2"/>
        <v>1</v>
      </c>
      <c r="AD11">
        <f t="shared" si="2"/>
        <v>-18.5</v>
      </c>
      <c r="AF11" s="10">
        <f t="shared" si="4"/>
        <v>176</v>
      </c>
      <c r="AG11" s="10">
        <f t="shared" si="5"/>
        <v>15</v>
      </c>
      <c r="AH11">
        <f t="shared" si="3"/>
        <v>176.63804799646084</v>
      </c>
    </row>
    <row r="12" spans="1:34" x14ac:dyDescent="0.3">
      <c r="A12">
        <v>11</v>
      </c>
      <c r="C12">
        <v>475</v>
      </c>
      <c r="D12">
        <v>446</v>
      </c>
      <c r="F12">
        <v>-190.12</v>
      </c>
      <c r="G12">
        <v>91.04</v>
      </c>
      <c r="H12">
        <v>728</v>
      </c>
      <c r="J12">
        <v>-193</v>
      </c>
      <c r="K12">
        <v>93</v>
      </c>
      <c r="L12">
        <v>728</v>
      </c>
      <c r="N12">
        <v>-184.92</v>
      </c>
      <c r="O12">
        <v>86.49</v>
      </c>
      <c r="P12">
        <v>707.27</v>
      </c>
      <c r="R12">
        <f t="shared" si="0"/>
        <v>736.14317860046765</v>
      </c>
      <c r="T12" s="5">
        <v>205.11</v>
      </c>
      <c r="U12" s="5">
        <v>756.66</v>
      </c>
      <c r="V12" s="5">
        <v>48.33</v>
      </c>
      <c r="X12">
        <f t="shared" si="1"/>
        <v>5.2000000000000171</v>
      </c>
      <c r="Y12">
        <f t="shared" si="1"/>
        <v>-4.5500000000000114</v>
      </c>
      <c r="Z12" s="9">
        <f t="shared" si="1"/>
        <v>-20.730000000000018</v>
      </c>
      <c r="AB12">
        <f t="shared" si="2"/>
        <v>8.0800000000000125</v>
      </c>
      <c r="AC12">
        <f t="shared" si="2"/>
        <v>-6.5100000000000051</v>
      </c>
      <c r="AD12">
        <f t="shared" si="2"/>
        <v>-20.730000000000018</v>
      </c>
      <c r="AF12" s="10">
        <f t="shared" si="4"/>
        <v>-165</v>
      </c>
      <c r="AG12" s="10">
        <f t="shared" si="5"/>
        <v>86</v>
      </c>
      <c r="AH12">
        <f t="shared" si="3"/>
        <v>186.06719216455113</v>
      </c>
    </row>
    <row r="13" spans="1:34" x14ac:dyDescent="0.3">
      <c r="A13">
        <v>12</v>
      </c>
      <c r="C13">
        <v>566</v>
      </c>
      <c r="D13">
        <v>447</v>
      </c>
      <c r="F13">
        <v>-82.79</v>
      </c>
      <c r="G13">
        <v>92.23</v>
      </c>
      <c r="H13">
        <v>728</v>
      </c>
      <c r="J13">
        <v>-85</v>
      </c>
      <c r="K13">
        <v>94</v>
      </c>
      <c r="L13">
        <v>728</v>
      </c>
      <c r="N13">
        <v>-81.5</v>
      </c>
      <c r="O13">
        <v>88.04</v>
      </c>
      <c r="P13">
        <v>705.62</v>
      </c>
      <c r="R13">
        <f t="shared" si="0"/>
        <v>715.74637686823121</v>
      </c>
      <c r="T13" s="5">
        <v>101.66</v>
      </c>
      <c r="U13" s="5">
        <v>756.65</v>
      </c>
      <c r="V13" s="5">
        <v>48.77</v>
      </c>
      <c r="X13">
        <f t="shared" si="1"/>
        <v>1.2900000000000063</v>
      </c>
      <c r="Y13">
        <f t="shared" si="1"/>
        <v>-4.1899999999999977</v>
      </c>
      <c r="Z13" s="9">
        <f t="shared" si="1"/>
        <v>-22.379999999999995</v>
      </c>
      <c r="AB13">
        <f t="shared" si="2"/>
        <v>3.5</v>
      </c>
      <c r="AC13">
        <f t="shared" si="2"/>
        <v>-5.9599999999999937</v>
      </c>
      <c r="AD13">
        <f t="shared" si="2"/>
        <v>-22.379999999999995</v>
      </c>
      <c r="AF13" s="10">
        <f t="shared" si="4"/>
        <v>-74</v>
      </c>
      <c r="AG13" s="10">
        <f t="shared" si="5"/>
        <v>87</v>
      </c>
      <c r="AH13">
        <f t="shared" si="3"/>
        <v>114.21471008587291</v>
      </c>
    </row>
    <row r="14" spans="1:34" x14ac:dyDescent="0.3">
      <c r="A14">
        <v>13</v>
      </c>
      <c r="C14">
        <v>651</v>
      </c>
      <c r="D14">
        <v>447</v>
      </c>
      <c r="F14">
        <v>17.39</v>
      </c>
      <c r="G14">
        <v>91.85</v>
      </c>
      <c r="H14">
        <v>725</v>
      </c>
      <c r="J14">
        <v>16</v>
      </c>
      <c r="K14">
        <v>94</v>
      </c>
      <c r="L14">
        <v>725</v>
      </c>
      <c r="N14">
        <v>14.61</v>
      </c>
      <c r="O14">
        <v>89.51</v>
      </c>
      <c r="P14">
        <v>704.13</v>
      </c>
      <c r="R14">
        <f t="shared" si="0"/>
        <v>709.94686357501428</v>
      </c>
      <c r="T14" s="5">
        <v>5.52</v>
      </c>
      <c r="U14" s="5">
        <v>756.65</v>
      </c>
      <c r="V14" s="5">
        <v>49.13</v>
      </c>
      <c r="X14">
        <f t="shared" si="1"/>
        <v>-2.7800000000000011</v>
      </c>
      <c r="Y14">
        <f t="shared" si="1"/>
        <v>-2.3399999999999892</v>
      </c>
      <c r="Z14" s="9">
        <f t="shared" si="1"/>
        <v>-20.870000000000005</v>
      </c>
      <c r="AB14">
        <f t="shared" si="2"/>
        <v>-1.3900000000000006</v>
      </c>
      <c r="AC14">
        <f t="shared" si="2"/>
        <v>-4.4899999999999949</v>
      </c>
      <c r="AD14">
        <f t="shared" si="2"/>
        <v>-20.870000000000005</v>
      </c>
      <c r="AF14" s="10">
        <f t="shared" si="4"/>
        <v>11</v>
      </c>
      <c r="AG14" s="10">
        <f t="shared" si="5"/>
        <v>87</v>
      </c>
      <c r="AH14">
        <f t="shared" si="3"/>
        <v>87.692645073575008</v>
      </c>
    </row>
    <row r="15" spans="1:34" x14ac:dyDescent="0.3">
      <c r="A15">
        <v>14</v>
      </c>
      <c r="C15">
        <v>740</v>
      </c>
      <c r="D15">
        <v>449</v>
      </c>
      <c r="F15" s="7">
        <v>121.27</v>
      </c>
      <c r="G15">
        <v>93.69</v>
      </c>
      <c r="H15">
        <v>721</v>
      </c>
      <c r="J15">
        <v>121</v>
      </c>
      <c r="K15">
        <v>96</v>
      </c>
      <c r="L15">
        <v>721</v>
      </c>
      <c r="N15">
        <v>116.53</v>
      </c>
      <c r="O15">
        <v>91.25</v>
      </c>
      <c r="P15">
        <v>702.78</v>
      </c>
      <c r="R15">
        <f t="shared" si="0"/>
        <v>718.19602602632096</v>
      </c>
      <c r="T15" s="5">
        <v>-96.42</v>
      </c>
      <c r="U15" s="5">
        <v>756.65</v>
      </c>
      <c r="V15" s="5">
        <v>49.22</v>
      </c>
      <c r="X15">
        <f t="shared" si="1"/>
        <v>-4.7399999999999949</v>
      </c>
      <c r="Y15">
        <f t="shared" si="1"/>
        <v>-2.4399999999999977</v>
      </c>
      <c r="Z15" s="9">
        <f t="shared" si="1"/>
        <v>-18.220000000000027</v>
      </c>
      <c r="AB15">
        <f t="shared" si="2"/>
        <v>-4.4699999999999989</v>
      </c>
      <c r="AC15">
        <f t="shared" si="2"/>
        <v>-4.75</v>
      </c>
      <c r="AD15">
        <f t="shared" si="2"/>
        <v>-18.220000000000027</v>
      </c>
      <c r="AF15" s="10">
        <f t="shared" si="4"/>
        <v>100</v>
      </c>
      <c r="AG15" s="10">
        <f t="shared" si="5"/>
        <v>89</v>
      </c>
      <c r="AH15">
        <f t="shared" si="3"/>
        <v>133.86933928274988</v>
      </c>
    </row>
    <row r="16" spans="1:34" x14ac:dyDescent="0.3">
      <c r="A16">
        <v>15</v>
      </c>
      <c r="C16">
        <v>829</v>
      </c>
      <c r="D16">
        <v>449</v>
      </c>
      <c r="F16">
        <v>223.98</v>
      </c>
      <c r="G16">
        <v>93.17</v>
      </c>
      <c r="H16">
        <v>717</v>
      </c>
      <c r="J16">
        <v>223</v>
      </c>
      <c r="K16">
        <v>95</v>
      </c>
      <c r="L16">
        <v>717</v>
      </c>
      <c r="N16">
        <v>215.35</v>
      </c>
      <c r="O16">
        <v>93.44</v>
      </c>
      <c r="P16">
        <v>700.77</v>
      </c>
      <c r="R16">
        <f t="shared" si="0"/>
        <v>739.04346895159017</v>
      </c>
      <c r="T16" s="5">
        <v>-195.28</v>
      </c>
      <c r="U16" s="5">
        <v>757.48</v>
      </c>
      <c r="V16" s="5">
        <v>49.59</v>
      </c>
      <c r="X16">
        <f t="shared" si="1"/>
        <v>-8.6299999999999955</v>
      </c>
      <c r="Y16">
        <f t="shared" si="1"/>
        <v>0.26999999999999602</v>
      </c>
      <c r="Z16" s="9">
        <f t="shared" si="1"/>
        <v>-16.230000000000018</v>
      </c>
      <c r="AB16">
        <f t="shared" si="2"/>
        <v>-7.6500000000000057</v>
      </c>
      <c r="AC16">
        <f t="shared" si="2"/>
        <v>-1.5600000000000023</v>
      </c>
      <c r="AD16">
        <f t="shared" si="2"/>
        <v>-16.230000000000018</v>
      </c>
      <c r="AF16" s="10">
        <f t="shared" si="4"/>
        <v>189</v>
      </c>
      <c r="AG16" s="10">
        <f t="shared" si="5"/>
        <v>89</v>
      </c>
      <c r="AH16">
        <f t="shared" si="3"/>
        <v>208.90667772955464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0"/>
  <sheetViews>
    <sheetView zoomScale="70" zoomScaleNormal="70" workbookViewId="0">
      <selection activeCell="Q2" sqref="Q2"/>
    </sheetView>
  </sheetViews>
  <sheetFormatPr baseColWidth="10" defaultColWidth="8.88671875" defaultRowHeight="14.4" x14ac:dyDescent="0.3"/>
  <cols>
    <col min="1" max="1" width="16.6640625" customWidth="1"/>
    <col min="5" max="5" width="12.5546875" customWidth="1"/>
    <col min="9" max="9" width="21.5546875" customWidth="1"/>
    <col min="10" max="10" width="11" customWidth="1"/>
    <col min="13" max="13" width="8.88671875" customWidth="1"/>
    <col min="17" max="17" width="15.6640625" customWidth="1"/>
    <col min="21" max="21" width="21.5546875" customWidth="1"/>
    <col min="25" max="25" width="21.6640625" customWidth="1"/>
    <col min="29" max="29" width="14.88671875" customWidth="1"/>
    <col min="30" max="30" width="12" customWidth="1"/>
    <col min="31" max="31" width="10.5546875" customWidth="1"/>
    <col min="32" max="32" width="12.109375" customWidth="1"/>
    <col min="33" max="33" width="11.6640625" customWidth="1"/>
    <col min="34" max="34" width="11.88671875" customWidth="1"/>
  </cols>
  <sheetData>
    <row r="1" spans="1:36" x14ac:dyDescent="0.3">
      <c r="A1" s="15" t="s">
        <v>13</v>
      </c>
    </row>
    <row r="2" spans="1:36" x14ac:dyDescent="0.3">
      <c r="A2" s="18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t="s">
        <v>18</v>
      </c>
      <c r="V2" t="s">
        <v>1</v>
      </c>
      <c r="W2" t="s">
        <v>2</v>
      </c>
      <c r="X2" t="s">
        <v>3</v>
      </c>
      <c r="Y2" t="s">
        <v>30</v>
      </c>
      <c r="AA2" t="s">
        <v>16</v>
      </c>
      <c r="AB2" t="s">
        <v>1</v>
      </c>
      <c r="AC2" t="s">
        <v>2</v>
      </c>
      <c r="AD2" t="s">
        <v>3</v>
      </c>
      <c r="AE2" t="s">
        <v>20</v>
      </c>
      <c r="AF2" s="6" t="s">
        <v>21</v>
      </c>
      <c r="AG2" t="s">
        <v>22</v>
      </c>
      <c r="AH2" s="3" t="s">
        <v>23</v>
      </c>
      <c r="AI2" t="s">
        <v>24</v>
      </c>
      <c r="AJ2" s="20" t="s">
        <v>25</v>
      </c>
    </row>
    <row r="3" spans="1:36" x14ac:dyDescent="0.3">
      <c r="A3" s="8"/>
      <c r="C3">
        <v>536</v>
      </c>
      <c r="D3">
        <v>342</v>
      </c>
      <c r="F3">
        <v>-131.16</v>
      </c>
      <c r="G3">
        <v>-35.659999999999997</v>
      </c>
      <c r="H3">
        <v>808</v>
      </c>
      <c r="J3">
        <v>-128.62</v>
      </c>
      <c r="K3">
        <v>-34.97</v>
      </c>
      <c r="L3">
        <v>792.38</v>
      </c>
      <c r="N3">
        <v>-134</v>
      </c>
      <c r="O3">
        <v>-34</v>
      </c>
      <c r="P3">
        <v>808</v>
      </c>
      <c r="R3">
        <v>-129.05000000000001</v>
      </c>
      <c r="S3">
        <v>-34.29</v>
      </c>
      <c r="T3">
        <v>791.25</v>
      </c>
      <c r="V3">
        <v>154.41</v>
      </c>
      <c r="W3">
        <v>608.38</v>
      </c>
      <c r="X3">
        <v>49.61</v>
      </c>
      <c r="Y3">
        <f>L3-H3</f>
        <v>-15.620000000000005</v>
      </c>
      <c r="AB3">
        <v>152.01</v>
      </c>
      <c r="AC3">
        <v>607.16</v>
      </c>
      <c r="AD3">
        <v>49.08</v>
      </c>
      <c r="AE3">
        <f t="shared" ref="AE3:AE10" si="0">R3-J3</f>
        <v>-0.43000000000000682</v>
      </c>
      <c r="AF3" s="6">
        <f t="shared" ref="AF3:AF10" si="1">V3-AB3</f>
        <v>2.4000000000000057</v>
      </c>
      <c r="AG3">
        <f t="shared" ref="AG3:AG10" si="2">S3-K3</f>
        <v>0.67999999999999972</v>
      </c>
      <c r="AH3" s="3">
        <f t="shared" ref="AH3:AH10" si="3">W3-AC3</f>
        <v>1.2200000000000273</v>
      </c>
      <c r="AI3">
        <f t="shared" ref="AI3:AI10" si="4">T3-L3</f>
        <v>-1.1299999999999955</v>
      </c>
      <c r="AJ3" s="20">
        <f t="shared" ref="AJ3:AJ10" si="5">X3-AD3</f>
        <v>0.53000000000000114</v>
      </c>
    </row>
    <row r="4" spans="1:36" x14ac:dyDescent="0.3">
      <c r="A4" s="8"/>
      <c r="C4">
        <v>612</v>
      </c>
      <c r="D4">
        <v>344</v>
      </c>
      <c r="F4">
        <v>-31.43</v>
      </c>
      <c r="G4">
        <v>-32.79</v>
      </c>
      <c r="H4">
        <v>802</v>
      </c>
      <c r="J4">
        <v>-30.76</v>
      </c>
      <c r="K4">
        <v>-32.79</v>
      </c>
      <c r="L4">
        <v>784.85</v>
      </c>
      <c r="N4">
        <v>-34</v>
      </c>
      <c r="O4">
        <v>-31</v>
      </c>
      <c r="P4">
        <v>802</v>
      </c>
      <c r="R4">
        <v>-31.95</v>
      </c>
      <c r="S4">
        <v>-31.53</v>
      </c>
      <c r="T4">
        <v>789.51</v>
      </c>
      <c r="V4">
        <v>55.26</v>
      </c>
      <c r="W4">
        <v>609.54999999999995</v>
      </c>
      <c r="X4">
        <v>49.43</v>
      </c>
      <c r="Y4">
        <f t="shared" ref="Y4:Y10" si="6">L4-H4</f>
        <v>-17.149999999999977</v>
      </c>
      <c r="AB4">
        <v>54.02</v>
      </c>
      <c r="AC4">
        <v>611.76</v>
      </c>
      <c r="AD4">
        <v>53.55</v>
      </c>
      <c r="AE4">
        <f t="shared" si="0"/>
        <v>-1.1899999999999977</v>
      </c>
      <c r="AF4" s="6">
        <f t="shared" si="1"/>
        <v>1.2399999999999949</v>
      </c>
      <c r="AG4">
        <f t="shared" si="2"/>
        <v>1.259999999999998</v>
      </c>
      <c r="AH4" s="3">
        <f t="shared" si="3"/>
        <v>-2.2100000000000364</v>
      </c>
      <c r="AI4">
        <f t="shared" si="4"/>
        <v>4.6599999999999682</v>
      </c>
      <c r="AJ4" s="20">
        <f t="shared" si="5"/>
        <v>-4.1199999999999974</v>
      </c>
    </row>
    <row r="5" spans="1:36" x14ac:dyDescent="0.3">
      <c r="A5" s="8"/>
      <c r="C5">
        <v>692</v>
      </c>
      <c r="D5">
        <v>343</v>
      </c>
      <c r="F5">
        <v>72.52</v>
      </c>
      <c r="G5">
        <v>-34.090000000000003</v>
      </c>
      <c r="H5">
        <v>802</v>
      </c>
      <c r="J5">
        <v>70.89</v>
      </c>
      <c r="K5">
        <v>-33.33</v>
      </c>
      <c r="L5">
        <v>783.98</v>
      </c>
      <c r="N5">
        <v>72</v>
      </c>
      <c r="O5">
        <v>-33</v>
      </c>
      <c r="P5">
        <v>802</v>
      </c>
      <c r="R5">
        <v>70.83</v>
      </c>
      <c r="S5">
        <v>-31.22</v>
      </c>
      <c r="T5">
        <v>788.67</v>
      </c>
      <c r="V5">
        <v>-47.52</v>
      </c>
      <c r="W5">
        <v>608.08000000000004</v>
      </c>
      <c r="X5">
        <v>49.93</v>
      </c>
      <c r="Y5">
        <f t="shared" si="6"/>
        <v>-18.019999999999982</v>
      </c>
      <c r="AB5">
        <v>-47.59</v>
      </c>
      <c r="AC5">
        <v>609.07000000000005</v>
      </c>
      <c r="AD5">
        <v>54.97</v>
      </c>
      <c r="AE5">
        <f t="shared" si="0"/>
        <v>-6.0000000000002274E-2</v>
      </c>
      <c r="AF5" s="6">
        <f t="shared" si="1"/>
        <v>7.0000000000000284E-2</v>
      </c>
      <c r="AG5">
        <f t="shared" si="2"/>
        <v>2.1099999999999994</v>
      </c>
      <c r="AH5" s="3">
        <f t="shared" si="3"/>
        <v>-0.99000000000000909</v>
      </c>
      <c r="AI5">
        <f t="shared" si="4"/>
        <v>4.6899999999999409</v>
      </c>
      <c r="AJ5" s="20">
        <f t="shared" si="5"/>
        <v>-5.0399999999999991</v>
      </c>
    </row>
    <row r="6" spans="1:36" x14ac:dyDescent="0.3">
      <c r="A6" s="8"/>
      <c r="C6">
        <v>768</v>
      </c>
      <c r="D6">
        <v>343</v>
      </c>
      <c r="F6">
        <v>-171.27</v>
      </c>
      <c r="G6">
        <v>34.090000000000003</v>
      </c>
      <c r="H6">
        <v>802</v>
      </c>
      <c r="J6">
        <v>167.59</v>
      </c>
      <c r="K6">
        <v>-33.36</v>
      </c>
      <c r="L6">
        <v>784.77</v>
      </c>
      <c r="N6">
        <v>171</v>
      </c>
      <c r="O6">
        <v>-33</v>
      </c>
      <c r="P6">
        <v>802</v>
      </c>
      <c r="R6">
        <v>168.47</v>
      </c>
      <c r="S6">
        <v>-29.74</v>
      </c>
      <c r="T6">
        <v>787.05</v>
      </c>
      <c r="V6">
        <v>-145.18</v>
      </c>
      <c r="W6">
        <v>608.12</v>
      </c>
      <c r="X6">
        <v>50.39</v>
      </c>
      <c r="Y6">
        <f t="shared" si="6"/>
        <v>-17.230000000000018</v>
      </c>
      <c r="AB6">
        <v>-144.26</v>
      </c>
      <c r="AC6">
        <v>606.5</v>
      </c>
      <c r="AD6">
        <v>54.34</v>
      </c>
      <c r="AE6">
        <f t="shared" si="0"/>
        <v>0.87999999999999545</v>
      </c>
      <c r="AF6" s="6">
        <f t="shared" si="1"/>
        <v>-0.92000000000001592</v>
      </c>
      <c r="AG6">
        <f t="shared" si="2"/>
        <v>3.620000000000001</v>
      </c>
      <c r="AH6" s="3">
        <f t="shared" si="3"/>
        <v>1.6200000000000045</v>
      </c>
      <c r="AI6">
        <f t="shared" si="4"/>
        <v>2.2799999999999727</v>
      </c>
      <c r="AJ6" s="20">
        <f t="shared" si="5"/>
        <v>-3.9500000000000028</v>
      </c>
    </row>
    <row r="7" spans="1:36" x14ac:dyDescent="0.3">
      <c r="A7" s="8"/>
      <c r="C7">
        <v>527</v>
      </c>
      <c r="D7">
        <v>408</v>
      </c>
      <c r="F7">
        <v>-133.38999999999999</v>
      </c>
      <c r="G7">
        <v>47.68</v>
      </c>
      <c r="H7">
        <v>754</v>
      </c>
      <c r="J7">
        <v>-130.38</v>
      </c>
      <c r="K7">
        <v>46.6</v>
      </c>
      <c r="L7">
        <v>736.99</v>
      </c>
      <c r="N7">
        <v>-136</v>
      </c>
      <c r="O7">
        <v>50</v>
      </c>
      <c r="P7">
        <v>754</v>
      </c>
      <c r="R7">
        <v>-130.54</v>
      </c>
      <c r="S7">
        <v>45.41</v>
      </c>
      <c r="T7">
        <v>735.2</v>
      </c>
      <c r="V7">
        <v>151.81</v>
      </c>
      <c r="W7">
        <v>705.83</v>
      </c>
      <c r="X7">
        <v>49.28</v>
      </c>
      <c r="Y7">
        <f t="shared" si="6"/>
        <v>-17.009999999999991</v>
      </c>
      <c r="AB7">
        <v>151.63999999999999</v>
      </c>
      <c r="AC7">
        <v>705.76</v>
      </c>
      <c r="AD7">
        <v>47.13</v>
      </c>
      <c r="AE7">
        <f t="shared" si="0"/>
        <v>-0.15999999999999659</v>
      </c>
      <c r="AF7" s="6">
        <f t="shared" si="1"/>
        <v>0.17000000000001592</v>
      </c>
      <c r="AG7">
        <f t="shared" si="2"/>
        <v>-1.1900000000000048</v>
      </c>
      <c r="AH7" s="3">
        <f t="shared" si="3"/>
        <v>7.0000000000050022E-2</v>
      </c>
      <c r="AI7">
        <f t="shared" si="4"/>
        <v>-1.7899999999999636</v>
      </c>
      <c r="AJ7" s="20">
        <f t="shared" si="5"/>
        <v>2.1499999999999986</v>
      </c>
    </row>
    <row r="8" spans="1:36" x14ac:dyDescent="0.3">
      <c r="A8" s="8"/>
      <c r="C8">
        <v>610</v>
      </c>
      <c r="D8">
        <v>409</v>
      </c>
      <c r="F8">
        <v>-31.82</v>
      </c>
      <c r="G8">
        <v>48.64</v>
      </c>
      <c r="H8">
        <v>750</v>
      </c>
      <c r="J8">
        <v>-31.1</v>
      </c>
      <c r="K8">
        <v>47.54</v>
      </c>
      <c r="L8">
        <v>732.97</v>
      </c>
      <c r="N8">
        <v>-34</v>
      </c>
      <c r="O8">
        <v>51</v>
      </c>
      <c r="P8">
        <v>750</v>
      </c>
      <c r="R8">
        <v>-33.01</v>
      </c>
      <c r="S8">
        <v>47.3</v>
      </c>
      <c r="T8">
        <v>734.21</v>
      </c>
      <c r="V8">
        <v>54.25</v>
      </c>
      <c r="W8">
        <v>706.85</v>
      </c>
      <c r="X8">
        <v>48.99</v>
      </c>
      <c r="Y8">
        <f t="shared" si="6"/>
        <v>-17.029999999999973</v>
      </c>
      <c r="AB8">
        <v>52.32</v>
      </c>
      <c r="AC8">
        <v>706.72</v>
      </c>
      <c r="AD8">
        <v>49.86</v>
      </c>
      <c r="AE8">
        <f t="shared" si="0"/>
        <v>-1.9099999999999966</v>
      </c>
      <c r="AF8" s="6">
        <f t="shared" si="1"/>
        <v>1.9299999999999997</v>
      </c>
      <c r="AG8">
        <f t="shared" si="2"/>
        <v>-0.24000000000000199</v>
      </c>
      <c r="AH8" s="3">
        <f t="shared" si="3"/>
        <v>0.12999999999999545</v>
      </c>
      <c r="AI8">
        <f t="shared" si="4"/>
        <v>1.2400000000000091</v>
      </c>
      <c r="AJ8" s="20">
        <f t="shared" si="5"/>
        <v>-0.86999999999999744</v>
      </c>
    </row>
    <row r="9" spans="1:36" x14ac:dyDescent="0.3">
      <c r="A9" s="8"/>
      <c r="C9">
        <v>695</v>
      </c>
      <c r="D9">
        <v>410</v>
      </c>
      <c r="F9">
        <v>71.08</v>
      </c>
      <c r="G9">
        <v>49.6</v>
      </c>
      <c r="H9">
        <v>746</v>
      </c>
      <c r="J9">
        <v>69.510000000000005</v>
      </c>
      <c r="K9">
        <v>48.5</v>
      </c>
      <c r="L9">
        <v>729.51</v>
      </c>
      <c r="N9">
        <v>70</v>
      </c>
      <c r="O9">
        <v>52</v>
      </c>
      <c r="P9">
        <v>746</v>
      </c>
      <c r="R9">
        <v>68.569999999999993</v>
      </c>
      <c r="S9">
        <v>49.84</v>
      </c>
      <c r="T9">
        <v>732.07</v>
      </c>
      <c r="V9">
        <v>-47.38</v>
      </c>
      <c r="W9">
        <v>706.98</v>
      </c>
      <c r="X9">
        <v>49.26</v>
      </c>
      <c r="Y9">
        <f t="shared" si="6"/>
        <v>-16.490000000000009</v>
      </c>
      <c r="AB9">
        <v>-48.32</v>
      </c>
      <c r="AC9">
        <v>707.34</v>
      </c>
      <c r="AD9">
        <v>52.11</v>
      </c>
      <c r="AE9">
        <f t="shared" si="0"/>
        <v>-0.94000000000001194</v>
      </c>
      <c r="AF9" s="6">
        <f t="shared" si="1"/>
        <v>0.93999999999999773</v>
      </c>
      <c r="AG9">
        <f t="shared" si="2"/>
        <v>1.3400000000000034</v>
      </c>
      <c r="AH9" s="3">
        <f t="shared" si="3"/>
        <v>-0.36000000000001364</v>
      </c>
      <c r="AI9">
        <f t="shared" si="4"/>
        <v>2.5600000000000591</v>
      </c>
      <c r="AJ9" s="20">
        <f t="shared" si="5"/>
        <v>-2.8500000000000014</v>
      </c>
    </row>
    <row r="10" spans="1:36" x14ac:dyDescent="0.3">
      <c r="A10" s="8"/>
      <c r="C10">
        <v>778</v>
      </c>
      <c r="D10">
        <v>410</v>
      </c>
      <c r="F10">
        <v>171.86</v>
      </c>
      <c r="G10">
        <v>49.73</v>
      </c>
      <c r="H10">
        <v>748</v>
      </c>
      <c r="J10">
        <v>168.09</v>
      </c>
      <c r="K10">
        <v>48.64</v>
      </c>
      <c r="L10">
        <v>731.57</v>
      </c>
      <c r="N10">
        <v>171</v>
      </c>
      <c r="O10">
        <v>51</v>
      </c>
      <c r="P10">
        <v>748</v>
      </c>
      <c r="R10">
        <v>166.31</v>
      </c>
      <c r="S10">
        <v>49.79</v>
      </c>
      <c r="T10">
        <v>731.32</v>
      </c>
      <c r="V10">
        <v>-145.11000000000001</v>
      </c>
      <c r="W10">
        <v>705.27</v>
      </c>
      <c r="X10">
        <v>49.89</v>
      </c>
      <c r="Y10">
        <f t="shared" si="6"/>
        <v>-16.42999999999995</v>
      </c>
      <c r="AB10">
        <v>-146.85</v>
      </c>
      <c r="AC10">
        <v>704.14</v>
      </c>
      <c r="AD10">
        <v>50.35</v>
      </c>
      <c r="AE10">
        <f t="shared" si="0"/>
        <v>-1.7800000000000011</v>
      </c>
      <c r="AF10" s="6">
        <f t="shared" si="1"/>
        <v>1.7399999999999807</v>
      </c>
      <c r="AG10">
        <f t="shared" si="2"/>
        <v>1.1499999999999986</v>
      </c>
      <c r="AH10" s="3">
        <f t="shared" si="3"/>
        <v>1.1299999999999955</v>
      </c>
      <c r="AI10">
        <f t="shared" si="4"/>
        <v>-0.25</v>
      </c>
      <c r="AJ10" s="20">
        <f t="shared" si="5"/>
        <v>-0.46000000000000085</v>
      </c>
    </row>
    <row r="11" spans="1:36" x14ac:dyDescent="0.3">
      <c r="A11" s="8"/>
    </row>
    <row r="12" spans="1:36" x14ac:dyDescent="0.3">
      <c r="A12" s="8" t="s">
        <v>19</v>
      </c>
      <c r="B12" t="s">
        <v>0</v>
      </c>
      <c r="C12" t="s">
        <v>1</v>
      </c>
      <c r="D12" t="s">
        <v>2</v>
      </c>
      <c r="E12" t="s">
        <v>6</v>
      </c>
      <c r="F12" t="s">
        <v>1</v>
      </c>
      <c r="G12" t="s">
        <v>2</v>
      </c>
      <c r="H12" t="s">
        <v>3</v>
      </c>
      <c r="I12" t="s">
        <v>15</v>
      </c>
      <c r="J12" t="s">
        <v>1</v>
      </c>
      <c r="K12" t="s">
        <v>2</v>
      </c>
      <c r="L12" t="s">
        <v>3</v>
      </c>
      <c r="M12" t="s">
        <v>9</v>
      </c>
      <c r="N12" t="s">
        <v>1</v>
      </c>
      <c r="O12" t="s">
        <v>2</v>
      </c>
      <c r="P12" t="s">
        <v>3</v>
      </c>
      <c r="Q12" t="s">
        <v>17</v>
      </c>
      <c r="R12" t="s">
        <v>1</v>
      </c>
      <c r="S12" t="s">
        <v>2</v>
      </c>
      <c r="T12" t="s">
        <v>3</v>
      </c>
      <c r="U12" s="21" t="s">
        <v>18</v>
      </c>
      <c r="V12" s="21" t="s">
        <v>1</v>
      </c>
      <c r="W12" s="21" t="s">
        <v>2</v>
      </c>
      <c r="X12" s="21" t="s">
        <v>3</v>
      </c>
      <c r="AA12" t="s">
        <v>16</v>
      </c>
      <c r="AB12" t="s">
        <v>1</v>
      </c>
      <c r="AC12" t="s">
        <v>2</v>
      </c>
      <c r="AD12" t="s">
        <v>3</v>
      </c>
      <c r="AE12" t="s">
        <v>20</v>
      </c>
      <c r="AF12" s="6" t="s">
        <v>21</v>
      </c>
      <c r="AG12" t="s">
        <v>22</v>
      </c>
      <c r="AH12" s="3" t="s">
        <v>23</v>
      </c>
      <c r="AI12" t="s">
        <v>24</v>
      </c>
      <c r="AJ12" s="20" t="s">
        <v>25</v>
      </c>
    </row>
    <row r="13" spans="1:36" x14ac:dyDescent="0.3">
      <c r="A13" s="8"/>
      <c r="C13">
        <v>525</v>
      </c>
      <c r="D13">
        <v>332</v>
      </c>
      <c r="F13">
        <v>-147.36000000000001</v>
      </c>
      <c r="G13">
        <v>-49.41</v>
      </c>
      <c r="H13">
        <v>818</v>
      </c>
      <c r="J13">
        <v>-144.56</v>
      </c>
      <c r="K13">
        <v>-48.48</v>
      </c>
      <c r="L13">
        <v>802.47</v>
      </c>
      <c r="N13">
        <v>-151</v>
      </c>
      <c r="O13">
        <v>-48</v>
      </c>
      <c r="P13">
        <v>818</v>
      </c>
      <c r="R13">
        <v>-144.30000000000001</v>
      </c>
      <c r="S13">
        <v>-48.08</v>
      </c>
      <c r="T13">
        <v>800.68</v>
      </c>
      <c r="U13" s="21"/>
      <c r="V13" s="21">
        <v>168.02</v>
      </c>
      <c r="W13" s="21">
        <v>592.01</v>
      </c>
      <c r="X13" s="21">
        <v>49.89</v>
      </c>
      <c r="AB13">
        <v>168.3</v>
      </c>
      <c r="AC13">
        <v>590.65</v>
      </c>
      <c r="AD13">
        <v>48.66</v>
      </c>
      <c r="AE13">
        <f t="shared" ref="AE13:AE20" si="7">R13-J13</f>
        <v>0.25999999999999091</v>
      </c>
      <c r="AF13" s="6">
        <f t="shared" ref="AF13:AF20" si="8">V13-AB13</f>
        <v>-0.28000000000000114</v>
      </c>
      <c r="AG13">
        <f t="shared" ref="AG13:AG20" si="9">S13-K13</f>
        <v>0.39999999999999858</v>
      </c>
      <c r="AH13" s="3">
        <f t="shared" ref="AH13:AH20" si="10">W13-AC13</f>
        <v>1.3600000000000136</v>
      </c>
      <c r="AI13">
        <f t="shared" ref="AI13:AI20" si="11">T13-L13</f>
        <v>-1.7900000000000773</v>
      </c>
      <c r="AJ13" s="20">
        <f t="shared" ref="AJ13:AJ20" si="12">X13-AD13</f>
        <v>1.230000000000004</v>
      </c>
    </row>
    <row r="14" spans="1:36" x14ac:dyDescent="0.3">
      <c r="A14" s="8"/>
      <c r="C14">
        <v>600</v>
      </c>
      <c r="D14">
        <v>333</v>
      </c>
      <c r="F14">
        <v>-47.67</v>
      </c>
      <c r="G14">
        <v>-47.79</v>
      </c>
      <c r="H14">
        <v>813</v>
      </c>
      <c r="J14">
        <v>-46.64</v>
      </c>
      <c r="K14">
        <v>-46.74</v>
      </c>
      <c r="L14">
        <v>795.52</v>
      </c>
      <c r="N14">
        <v>-50</v>
      </c>
      <c r="O14">
        <v>-46</v>
      </c>
      <c r="P14">
        <v>813</v>
      </c>
      <c r="R14">
        <v>-46.89</v>
      </c>
      <c r="S14">
        <v>-46.24</v>
      </c>
      <c r="T14">
        <v>799.16</v>
      </c>
      <c r="U14" s="21"/>
      <c r="V14" s="21">
        <v>70.58</v>
      </c>
      <c r="W14" s="21">
        <v>592.29</v>
      </c>
      <c r="X14" s="21">
        <v>50.06</v>
      </c>
      <c r="AB14">
        <v>70.290000000000006</v>
      </c>
      <c r="AC14">
        <v>593.96</v>
      </c>
      <c r="AD14">
        <v>53.32</v>
      </c>
      <c r="AE14">
        <f t="shared" si="7"/>
        <v>-0.25</v>
      </c>
      <c r="AF14" s="6">
        <f t="shared" si="8"/>
        <v>0.28999999999999204</v>
      </c>
      <c r="AG14">
        <f t="shared" si="9"/>
        <v>0.5</v>
      </c>
      <c r="AH14" s="3">
        <f t="shared" si="10"/>
        <v>-1.6700000000000728</v>
      </c>
      <c r="AI14">
        <f t="shared" si="11"/>
        <v>3.6399999999999864</v>
      </c>
      <c r="AJ14" s="20">
        <f t="shared" si="12"/>
        <v>-3.259999999999998</v>
      </c>
    </row>
    <row r="15" spans="1:36" x14ac:dyDescent="0.3">
      <c r="A15" s="8"/>
      <c r="C15">
        <v>680</v>
      </c>
      <c r="D15">
        <v>334</v>
      </c>
      <c r="F15">
        <v>57.63</v>
      </c>
      <c r="G15">
        <v>-46.41</v>
      </c>
      <c r="H15">
        <v>812</v>
      </c>
      <c r="J15">
        <v>56.38</v>
      </c>
      <c r="K15">
        <v>-45.4</v>
      </c>
      <c r="L15">
        <v>794.31</v>
      </c>
      <c r="N15">
        <v>57</v>
      </c>
      <c r="O15">
        <v>-45</v>
      </c>
      <c r="P15">
        <v>812</v>
      </c>
      <c r="R15">
        <v>55</v>
      </c>
      <c r="S15">
        <v>-44.23</v>
      </c>
      <c r="T15">
        <v>797.94</v>
      </c>
      <c r="U15" s="21"/>
      <c r="V15" s="21">
        <v>-31.35</v>
      </c>
      <c r="W15" s="21">
        <v>592.45000000000005</v>
      </c>
      <c r="X15" s="21">
        <v>49.89</v>
      </c>
      <c r="AB15">
        <v>-32.74</v>
      </c>
      <c r="AC15">
        <v>593.55999999999995</v>
      </c>
      <c r="AD15">
        <v>53.52</v>
      </c>
      <c r="AE15">
        <f t="shared" si="7"/>
        <v>-1.3800000000000026</v>
      </c>
      <c r="AF15" s="6">
        <f t="shared" si="8"/>
        <v>1.3900000000000006</v>
      </c>
      <c r="AG15">
        <f t="shared" si="9"/>
        <v>1.1700000000000017</v>
      </c>
      <c r="AH15" s="3">
        <f t="shared" si="10"/>
        <v>-1.1099999999999</v>
      </c>
      <c r="AI15">
        <f t="shared" si="11"/>
        <v>3.6300000000001091</v>
      </c>
      <c r="AJ15" s="20">
        <f t="shared" si="12"/>
        <v>-3.6300000000000026</v>
      </c>
    </row>
    <row r="16" spans="1:36" x14ac:dyDescent="0.3">
      <c r="A16" s="8"/>
      <c r="C16">
        <v>755</v>
      </c>
      <c r="D16">
        <v>333</v>
      </c>
      <c r="F16">
        <v>156.31</v>
      </c>
      <c r="G16">
        <v>-47.73</v>
      </c>
      <c r="H16">
        <v>812</v>
      </c>
      <c r="J16">
        <v>153.01</v>
      </c>
      <c r="K16">
        <v>-46.72</v>
      </c>
      <c r="L16">
        <v>794.85</v>
      </c>
      <c r="N16">
        <v>156</v>
      </c>
      <c r="O16">
        <v>-46</v>
      </c>
      <c r="P16">
        <v>812</v>
      </c>
      <c r="R16">
        <v>152.04</v>
      </c>
      <c r="S16">
        <v>-43.79</v>
      </c>
      <c r="T16">
        <v>796.75</v>
      </c>
      <c r="U16" s="21"/>
      <c r="V16" s="21">
        <v>-128.38999999999999</v>
      </c>
      <c r="W16" s="21">
        <v>591.41</v>
      </c>
      <c r="X16" s="21">
        <v>50.6</v>
      </c>
      <c r="AB16">
        <v>-129.32</v>
      </c>
      <c r="AC16">
        <v>590.09</v>
      </c>
      <c r="AD16">
        <v>53.83</v>
      </c>
      <c r="AE16">
        <f t="shared" si="7"/>
        <v>-0.96999999999999886</v>
      </c>
      <c r="AF16" s="6">
        <f t="shared" si="8"/>
        <v>0.93000000000000682</v>
      </c>
      <c r="AG16">
        <f t="shared" si="9"/>
        <v>2.9299999999999997</v>
      </c>
      <c r="AH16" s="3">
        <f t="shared" si="10"/>
        <v>1.3199999999999363</v>
      </c>
      <c r="AI16">
        <f t="shared" si="11"/>
        <v>1.8999999999999773</v>
      </c>
      <c r="AJ16" s="20">
        <f t="shared" si="12"/>
        <v>-3.2299999999999969</v>
      </c>
    </row>
    <row r="17" spans="1:36" x14ac:dyDescent="0.3">
      <c r="A17" s="8"/>
      <c r="C17">
        <v>515</v>
      </c>
      <c r="D17">
        <v>396</v>
      </c>
      <c r="F17">
        <v>-149.41999999999999</v>
      </c>
      <c r="G17">
        <v>33.26</v>
      </c>
      <c r="H17">
        <v>761</v>
      </c>
      <c r="J17">
        <v>-146.38</v>
      </c>
      <c r="K17">
        <v>32.159999999999997</v>
      </c>
      <c r="L17">
        <v>744.03</v>
      </c>
      <c r="N17">
        <v>-152</v>
      </c>
      <c r="O17">
        <v>35</v>
      </c>
      <c r="P17">
        <v>761</v>
      </c>
      <c r="R17">
        <v>-146.38</v>
      </c>
      <c r="S17">
        <v>32.159999999999997</v>
      </c>
      <c r="T17">
        <v>744.03</v>
      </c>
      <c r="U17" s="21"/>
      <c r="V17" s="21">
        <v>167.99</v>
      </c>
      <c r="W17" s="21">
        <v>690.26</v>
      </c>
      <c r="X17" s="21">
        <v>49.73</v>
      </c>
      <c r="AB17">
        <v>167.6</v>
      </c>
      <c r="AC17">
        <v>690.76</v>
      </c>
      <c r="AD17">
        <v>49.87</v>
      </c>
      <c r="AE17">
        <f t="shared" si="7"/>
        <v>0</v>
      </c>
      <c r="AF17" s="6">
        <f t="shared" si="8"/>
        <v>0.39000000000001478</v>
      </c>
      <c r="AG17">
        <f t="shared" si="9"/>
        <v>0</v>
      </c>
      <c r="AH17" s="3">
        <f t="shared" si="10"/>
        <v>-0.5</v>
      </c>
      <c r="AI17">
        <f t="shared" si="11"/>
        <v>0</v>
      </c>
      <c r="AJ17" s="20">
        <f t="shared" si="12"/>
        <v>-0.14000000000000057</v>
      </c>
    </row>
    <row r="18" spans="1:36" x14ac:dyDescent="0.3">
      <c r="A18" s="8"/>
      <c r="C18">
        <v>596</v>
      </c>
      <c r="D18">
        <v>397</v>
      </c>
      <c r="F18">
        <v>-49.42</v>
      </c>
      <c r="G18">
        <v>34.409999999999997</v>
      </c>
      <c r="H18">
        <v>759</v>
      </c>
      <c r="J18">
        <v>-48.31</v>
      </c>
      <c r="K18">
        <v>33.64</v>
      </c>
      <c r="L18">
        <v>741.98</v>
      </c>
      <c r="N18">
        <v>-52</v>
      </c>
      <c r="O18">
        <v>36</v>
      </c>
      <c r="P18">
        <v>759</v>
      </c>
      <c r="R18">
        <v>-48.81</v>
      </c>
      <c r="S18">
        <v>34.86</v>
      </c>
      <c r="T18">
        <v>743.88</v>
      </c>
      <c r="U18" s="21"/>
      <c r="V18" s="21">
        <v>70.39</v>
      </c>
      <c r="W18" s="21">
        <v>690.45</v>
      </c>
      <c r="X18" s="21">
        <v>49.29</v>
      </c>
      <c r="AB18">
        <v>69.88</v>
      </c>
      <c r="AC18">
        <v>690.54</v>
      </c>
      <c r="AD18">
        <v>50.54</v>
      </c>
      <c r="AE18">
        <f t="shared" si="7"/>
        <v>-0.5</v>
      </c>
      <c r="AF18" s="6">
        <f t="shared" si="8"/>
        <v>0.51000000000000512</v>
      </c>
      <c r="AG18">
        <f t="shared" si="9"/>
        <v>1.2199999999999989</v>
      </c>
      <c r="AH18" s="3">
        <f t="shared" si="10"/>
        <v>-8.9999999999918145E-2</v>
      </c>
      <c r="AI18">
        <f t="shared" si="11"/>
        <v>1.8999999999999773</v>
      </c>
      <c r="AJ18" s="20">
        <f t="shared" si="12"/>
        <v>-1.25</v>
      </c>
    </row>
    <row r="19" spans="1:36" x14ac:dyDescent="0.3">
      <c r="A19" s="8"/>
      <c r="C19">
        <v>681</v>
      </c>
      <c r="D19">
        <v>397</v>
      </c>
      <c r="F19">
        <v>55.03</v>
      </c>
      <c r="G19">
        <v>34.36</v>
      </c>
      <c r="H19">
        <v>758</v>
      </c>
      <c r="J19">
        <v>53.84</v>
      </c>
      <c r="K19">
        <v>33.619999999999997</v>
      </c>
      <c r="L19">
        <v>741.6</v>
      </c>
      <c r="N19">
        <v>54</v>
      </c>
      <c r="O19">
        <v>36</v>
      </c>
      <c r="P19">
        <v>758</v>
      </c>
      <c r="R19">
        <v>52.95</v>
      </c>
      <c r="S19">
        <v>35.33</v>
      </c>
      <c r="T19">
        <v>741.96</v>
      </c>
      <c r="U19" s="21"/>
      <c r="V19" s="21">
        <v>-31.39</v>
      </c>
      <c r="W19" s="21">
        <v>689.8</v>
      </c>
      <c r="X19" s="21">
        <v>49.55</v>
      </c>
      <c r="AB19">
        <v>-32.25</v>
      </c>
      <c r="AC19">
        <v>688.55</v>
      </c>
      <c r="AD19">
        <v>50.85</v>
      </c>
      <c r="AE19">
        <f t="shared" si="7"/>
        <v>-0.89000000000000057</v>
      </c>
      <c r="AF19" s="6">
        <f t="shared" si="8"/>
        <v>0.85999999999999943</v>
      </c>
      <c r="AG19">
        <f t="shared" si="9"/>
        <v>1.7100000000000009</v>
      </c>
      <c r="AH19" s="3">
        <f t="shared" si="10"/>
        <v>1.25</v>
      </c>
      <c r="AI19">
        <f t="shared" si="11"/>
        <v>0.36000000000001364</v>
      </c>
      <c r="AJ19" s="20">
        <f t="shared" si="12"/>
        <v>-1.3000000000000043</v>
      </c>
    </row>
    <row r="20" spans="1:36" x14ac:dyDescent="0.3">
      <c r="A20" s="8"/>
      <c r="C20">
        <v>761</v>
      </c>
      <c r="D20">
        <v>397</v>
      </c>
      <c r="F20">
        <v>153.28</v>
      </c>
      <c r="G20">
        <v>34.36</v>
      </c>
      <c r="H20">
        <v>758</v>
      </c>
      <c r="J20">
        <v>149.94</v>
      </c>
      <c r="K20">
        <v>33.619999999999997</v>
      </c>
      <c r="L20">
        <v>741.48</v>
      </c>
      <c r="N20">
        <v>153</v>
      </c>
      <c r="O20">
        <v>36</v>
      </c>
      <c r="P20">
        <v>758</v>
      </c>
      <c r="R20">
        <v>149.61000000000001</v>
      </c>
      <c r="S20">
        <v>36.1</v>
      </c>
      <c r="T20">
        <v>740.8</v>
      </c>
      <c r="U20" s="21"/>
      <c r="V20" s="21">
        <v>-128.05000000000001</v>
      </c>
      <c r="W20" s="21">
        <v>688.98</v>
      </c>
      <c r="X20" s="21">
        <v>50.07</v>
      </c>
      <c r="AB20">
        <v>-128.33000000000001</v>
      </c>
      <c r="AC20">
        <v>686.55</v>
      </c>
      <c r="AD20">
        <v>50.94</v>
      </c>
      <c r="AE20">
        <f t="shared" si="7"/>
        <v>-0.32999999999998408</v>
      </c>
      <c r="AF20" s="6">
        <f t="shared" si="8"/>
        <v>0.28000000000000114</v>
      </c>
      <c r="AG20">
        <f t="shared" si="9"/>
        <v>2.480000000000004</v>
      </c>
      <c r="AH20" s="3">
        <f t="shared" si="10"/>
        <v>2.4300000000000637</v>
      </c>
      <c r="AI20">
        <f t="shared" si="11"/>
        <v>-0.68000000000006366</v>
      </c>
      <c r="AJ20" s="20">
        <f t="shared" si="12"/>
        <v>-0.86999999999999744</v>
      </c>
    </row>
    <row r="21" spans="1:36" x14ac:dyDescent="0.3">
      <c r="A21" s="8"/>
    </row>
    <row r="22" spans="1:36" x14ac:dyDescent="0.3">
      <c r="A22" s="8" t="s">
        <v>26</v>
      </c>
      <c r="B22" t="s">
        <v>0</v>
      </c>
      <c r="C22" t="s">
        <v>1</v>
      </c>
      <c r="D22" t="s">
        <v>2</v>
      </c>
      <c r="E22" t="s">
        <v>6</v>
      </c>
      <c r="F22" t="s">
        <v>1</v>
      </c>
      <c r="G22" t="s">
        <v>2</v>
      </c>
      <c r="H22" t="s">
        <v>3</v>
      </c>
      <c r="I22" t="s">
        <v>15</v>
      </c>
      <c r="J22" t="s">
        <v>1</v>
      </c>
      <c r="K22" t="s">
        <v>2</v>
      </c>
      <c r="L22" t="s">
        <v>3</v>
      </c>
      <c r="M22" t="s">
        <v>9</v>
      </c>
      <c r="N22" t="s">
        <v>1</v>
      </c>
      <c r="O22" t="s">
        <v>2</v>
      </c>
      <c r="P22" t="s">
        <v>3</v>
      </c>
      <c r="Q22" t="s">
        <v>17</v>
      </c>
      <c r="R22" t="s">
        <v>1</v>
      </c>
      <c r="S22" t="s">
        <v>2</v>
      </c>
      <c r="T22" t="s">
        <v>3</v>
      </c>
      <c r="U22" s="21" t="s">
        <v>18</v>
      </c>
      <c r="V22" s="21" t="s">
        <v>1</v>
      </c>
      <c r="W22" s="21" t="s">
        <v>2</v>
      </c>
      <c r="X22" s="21" t="s">
        <v>3</v>
      </c>
      <c r="AA22" t="s">
        <v>16</v>
      </c>
      <c r="AB22" t="s">
        <v>1</v>
      </c>
      <c r="AC22" t="s">
        <v>2</v>
      </c>
      <c r="AD22" t="s">
        <v>3</v>
      </c>
      <c r="AE22" t="s">
        <v>20</v>
      </c>
      <c r="AF22" s="6" t="s">
        <v>21</v>
      </c>
      <c r="AG22" t="s">
        <v>22</v>
      </c>
      <c r="AH22" s="3" t="s">
        <v>23</v>
      </c>
      <c r="AI22" t="s">
        <v>24</v>
      </c>
      <c r="AJ22" s="20" t="s">
        <v>25</v>
      </c>
    </row>
    <row r="23" spans="1:36" x14ac:dyDescent="0.3">
      <c r="A23" s="8"/>
      <c r="C23">
        <v>550</v>
      </c>
      <c r="D23">
        <v>332</v>
      </c>
      <c r="F23">
        <v>-113.95</v>
      </c>
      <c r="G23">
        <v>-49.29</v>
      </c>
      <c r="H23">
        <v>816</v>
      </c>
      <c r="J23">
        <v>-111.78</v>
      </c>
      <c r="K23">
        <v>-48.35</v>
      </c>
      <c r="L23">
        <v>800.46</v>
      </c>
      <c r="N23">
        <v>-117</v>
      </c>
      <c r="O23">
        <v>-48</v>
      </c>
      <c r="P23">
        <v>816</v>
      </c>
      <c r="R23">
        <v>-112.25</v>
      </c>
      <c r="S23">
        <v>-47.22</v>
      </c>
      <c r="T23">
        <v>800.09</v>
      </c>
      <c r="U23" s="21"/>
      <c r="V23" s="21">
        <v>135.94999999999999</v>
      </c>
      <c r="W23" s="21">
        <v>592.36</v>
      </c>
      <c r="X23" s="21">
        <v>49.87</v>
      </c>
      <c r="AB23">
        <v>135.5</v>
      </c>
      <c r="AC23">
        <v>591.21</v>
      </c>
      <c r="AD23">
        <v>50.22</v>
      </c>
      <c r="AE23">
        <f t="shared" ref="AE23:AE30" si="13">R23-J23</f>
        <v>-0.46999999999999886</v>
      </c>
      <c r="AF23" s="6">
        <f t="shared" ref="AF23:AF30" si="14">V23-AB23</f>
        <v>0.44999999999998863</v>
      </c>
      <c r="AG23">
        <f t="shared" ref="AG23:AG30" si="15">S23-K23</f>
        <v>1.1300000000000026</v>
      </c>
      <c r="AH23" s="3">
        <f t="shared" ref="AH23:AH30" si="16">W23-AC23</f>
        <v>1.1499999999999773</v>
      </c>
      <c r="AI23">
        <f t="shared" ref="AI23:AI30" si="17">T23-L23</f>
        <v>-0.37000000000000455</v>
      </c>
      <c r="AJ23" s="20">
        <f t="shared" ref="AJ23:AJ30" si="18">X23-AD23</f>
        <v>-0.35000000000000142</v>
      </c>
    </row>
    <row r="24" spans="1:36" x14ac:dyDescent="0.3">
      <c r="A24" s="8"/>
      <c r="C24">
        <v>625</v>
      </c>
      <c r="D24">
        <v>333</v>
      </c>
      <c r="F24">
        <v>-14.75</v>
      </c>
      <c r="G24">
        <v>-47.85</v>
      </c>
      <c r="H24">
        <v>814</v>
      </c>
      <c r="J24">
        <v>-14.45</v>
      </c>
      <c r="K24">
        <v>-46.85</v>
      </c>
      <c r="L24">
        <v>797.11</v>
      </c>
      <c r="N24">
        <v>-17</v>
      </c>
      <c r="O24">
        <v>-47</v>
      </c>
      <c r="P24">
        <v>814</v>
      </c>
      <c r="R24">
        <v>-14.83</v>
      </c>
      <c r="S24">
        <v>-45.38</v>
      </c>
      <c r="T24">
        <v>799</v>
      </c>
      <c r="U24" s="21"/>
      <c r="V24" s="21">
        <v>38.51</v>
      </c>
      <c r="W24" s="21">
        <v>592.4</v>
      </c>
      <c r="X24" s="21">
        <v>49.69</v>
      </c>
      <c r="AB24">
        <v>38.119999999999997</v>
      </c>
      <c r="AC24">
        <v>592.28</v>
      </c>
      <c r="AD24">
        <v>52.08</v>
      </c>
      <c r="AE24">
        <f t="shared" si="13"/>
        <v>-0.38000000000000078</v>
      </c>
      <c r="AF24" s="6">
        <f t="shared" si="14"/>
        <v>0.39000000000000057</v>
      </c>
      <c r="AG24">
        <f t="shared" si="15"/>
        <v>1.4699999999999989</v>
      </c>
      <c r="AH24" s="3">
        <f t="shared" si="16"/>
        <v>0.12000000000000455</v>
      </c>
      <c r="AI24">
        <f t="shared" si="17"/>
        <v>1.8899999999999864</v>
      </c>
      <c r="AJ24" s="20">
        <f t="shared" si="18"/>
        <v>-2.3900000000000006</v>
      </c>
    </row>
    <row r="25" spans="1:36" x14ac:dyDescent="0.3">
      <c r="A25" s="8"/>
      <c r="C25">
        <v>705</v>
      </c>
      <c r="D25">
        <v>333</v>
      </c>
      <c r="F25">
        <v>90.52</v>
      </c>
      <c r="G25">
        <v>-47.73</v>
      </c>
      <c r="H25">
        <v>812</v>
      </c>
      <c r="J25">
        <v>88.54</v>
      </c>
      <c r="K25">
        <v>-46.68</v>
      </c>
      <c r="L25">
        <v>794.16</v>
      </c>
      <c r="N25">
        <v>90</v>
      </c>
      <c r="O25">
        <v>-46</v>
      </c>
      <c r="P25">
        <v>812</v>
      </c>
      <c r="R25">
        <v>89.09</v>
      </c>
      <c r="S25">
        <v>-44.23</v>
      </c>
      <c r="T25">
        <v>797.41</v>
      </c>
      <c r="U25" s="21"/>
      <c r="V25" s="21">
        <v>-65.44</v>
      </c>
      <c r="W25" s="21">
        <v>592.02</v>
      </c>
      <c r="X25" s="21">
        <v>50.32</v>
      </c>
      <c r="AB25">
        <v>-64.87</v>
      </c>
      <c r="AC25">
        <v>591.91</v>
      </c>
      <c r="AD25">
        <v>54.38</v>
      </c>
      <c r="AE25">
        <f t="shared" si="13"/>
        <v>0.54999999999999716</v>
      </c>
      <c r="AF25" s="6">
        <f t="shared" si="14"/>
        <v>-0.56999999999999318</v>
      </c>
      <c r="AG25">
        <f t="shared" si="15"/>
        <v>2.4500000000000028</v>
      </c>
      <c r="AH25" s="3">
        <f t="shared" si="16"/>
        <v>0.11000000000001364</v>
      </c>
      <c r="AI25">
        <f t="shared" si="17"/>
        <v>3.25</v>
      </c>
      <c r="AJ25" s="20">
        <f t="shared" si="18"/>
        <v>-4.0600000000000023</v>
      </c>
    </row>
    <row r="26" spans="1:36" x14ac:dyDescent="0.3">
      <c r="A26" s="8"/>
      <c r="C26">
        <v>781</v>
      </c>
      <c r="D26">
        <v>333</v>
      </c>
      <c r="F26">
        <v>190.75</v>
      </c>
      <c r="G26">
        <v>-47.79</v>
      </c>
      <c r="H26">
        <v>813</v>
      </c>
      <c r="J26">
        <v>186.68</v>
      </c>
      <c r="K26">
        <v>-46.77</v>
      </c>
      <c r="L26">
        <v>795.64</v>
      </c>
      <c r="N26">
        <v>190</v>
      </c>
      <c r="O26">
        <v>-46</v>
      </c>
      <c r="P26">
        <v>813</v>
      </c>
      <c r="R26">
        <v>185.6</v>
      </c>
      <c r="S26">
        <v>-42.76</v>
      </c>
      <c r="T26">
        <v>795.88</v>
      </c>
      <c r="U26" s="21"/>
      <c r="V26" s="21">
        <v>-161.97</v>
      </c>
      <c r="W26" s="21">
        <v>592.03</v>
      </c>
      <c r="X26" s="21">
        <v>50.71</v>
      </c>
      <c r="AB26">
        <v>-162.97</v>
      </c>
      <c r="AC26">
        <v>588.87</v>
      </c>
      <c r="AD26">
        <v>53.22</v>
      </c>
      <c r="AE26">
        <f t="shared" si="13"/>
        <v>-1.0800000000000125</v>
      </c>
      <c r="AF26" s="6">
        <f t="shared" si="14"/>
        <v>1</v>
      </c>
      <c r="AG26">
        <f t="shared" si="15"/>
        <v>4.0100000000000051</v>
      </c>
      <c r="AH26" s="3">
        <f t="shared" si="16"/>
        <v>3.1599999999999682</v>
      </c>
      <c r="AI26">
        <f t="shared" si="17"/>
        <v>0.24000000000000909</v>
      </c>
      <c r="AJ26" s="20">
        <f t="shared" si="18"/>
        <v>-2.509999999999998</v>
      </c>
    </row>
    <row r="27" spans="1:36" x14ac:dyDescent="0.3">
      <c r="A27" s="8"/>
      <c r="C27">
        <v>542</v>
      </c>
      <c r="D27">
        <v>396</v>
      </c>
      <c r="F27">
        <v>-116.44</v>
      </c>
      <c r="G27">
        <v>33.35</v>
      </c>
      <c r="H27">
        <v>763</v>
      </c>
      <c r="J27">
        <v>-113.79</v>
      </c>
      <c r="K27">
        <v>32.590000000000003</v>
      </c>
      <c r="L27">
        <v>745.63</v>
      </c>
      <c r="N27">
        <v>-119</v>
      </c>
      <c r="O27">
        <v>35</v>
      </c>
      <c r="P27">
        <v>763</v>
      </c>
      <c r="R27">
        <v>-113.5</v>
      </c>
      <c r="S27">
        <v>32</v>
      </c>
      <c r="T27">
        <v>744.01</v>
      </c>
      <c r="U27" s="21"/>
      <c r="V27" s="21">
        <v>135.12</v>
      </c>
      <c r="W27" s="21">
        <v>689.43</v>
      </c>
      <c r="X27" s="21">
        <v>49.84</v>
      </c>
      <c r="AB27">
        <v>135.41</v>
      </c>
      <c r="AC27">
        <v>688.98</v>
      </c>
      <c r="AD27">
        <v>48.17</v>
      </c>
      <c r="AE27">
        <f t="shared" si="13"/>
        <v>0.29000000000000625</v>
      </c>
      <c r="AF27" s="6">
        <f t="shared" si="14"/>
        <v>-0.28999999999999204</v>
      </c>
      <c r="AG27">
        <f t="shared" si="15"/>
        <v>-0.59000000000000341</v>
      </c>
      <c r="AH27" s="3">
        <f t="shared" si="16"/>
        <v>0.44999999999993179</v>
      </c>
      <c r="AI27">
        <f t="shared" si="17"/>
        <v>-1.6200000000000045</v>
      </c>
      <c r="AJ27" s="20">
        <f t="shared" si="18"/>
        <v>1.6700000000000017</v>
      </c>
    </row>
    <row r="28" spans="1:36" x14ac:dyDescent="0.3">
      <c r="A28" s="8"/>
      <c r="C28">
        <v>624</v>
      </c>
      <c r="D28">
        <v>397</v>
      </c>
      <c r="F28">
        <v>-14.65</v>
      </c>
      <c r="G28">
        <v>33.64</v>
      </c>
      <c r="H28">
        <v>759</v>
      </c>
      <c r="J28">
        <v>-14.65</v>
      </c>
      <c r="K28">
        <v>33.64</v>
      </c>
      <c r="L28">
        <v>742.05</v>
      </c>
      <c r="N28">
        <v>-17</v>
      </c>
      <c r="O28">
        <v>36</v>
      </c>
      <c r="P28">
        <v>759</v>
      </c>
      <c r="R28">
        <v>-16.010000000000002</v>
      </c>
      <c r="S28">
        <v>34.92</v>
      </c>
      <c r="T28">
        <v>743.03</v>
      </c>
      <c r="U28" s="21"/>
      <c r="V28" s="21">
        <v>37.590000000000003</v>
      </c>
      <c r="W28" s="21">
        <v>690.29</v>
      </c>
      <c r="X28" s="21">
        <v>48.94</v>
      </c>
      <c r="AB28">
        <v>36.229999999999997</v>
      </c>
      <c r="AC28">
        <v>689.78</v>
      </c>
      <c r="AD28">
        <v>50.48</v>
      </c>
      <c r="AE28">
        <f t="shared" si="13"/>
        <v>-1.3600000000000012</v>
      </c>
      <c r="AF28" s="6">
        <f t="shared" si="14"/>
        <v>1.3600000000000065</v>
      </c>
      <c r="AG28">
        <f t="shared" si="15"/>
        <v>1.2800000000000011</v>
      </c>
      <c r="AH28" s="3">
        <f t="shared" si="16"/>
        <v>0.50999999999999091</v>
      </c>
      <c r="AI28">
        <f t="shared" si="17"/>
        <v>0.98000000000001819</v>
      </c>
      <c r="AJ28" s="20">
        <f t="shared" si="18"/>
        <v>-1.5399999999999991</v>
      </c>
    </row>
    <row r="29" spans="1:36" x14ac:dyDescent="0.3">
      <c r="A29" s="8"/>
      <c r="C29">
        <v>710</v>
      </c>
      <c r="D29">
        <v>397</v>
      </c>
      <c r="F29">
        <v>90.52</v>
      </c>
      <c r="G29">
        <v>34.32</v>
      </c>
      <c r="H29">
        <v>757</v>
      </c>
      <c r="J29">
        <v>88.53</v>
      </c>
      <c r="K29">
        <v>33.56</v>
      </c>
      <c r="L29">
        <v>740.29</v>
      </c>
      <c r="N29">
        <v>90</v>
      </c>
      <c r="O29">
        <v>36</v>
      </c>
      <c r="P29">
        <v>757</v>
      </c>
      <c r="R29">
        <v>87.12</v>
      </c>
      <c r="S29">
        <v>35.799999999999997</v>
      </c>
      <c r="T29">
        <v>742.08</v>
      </c>
      <c r="U29" s="21"/>
      <c r="V29" s="21">
        <v>-65.56</v>
      </c>
      <c r="W29" s="21">
        <v>689.34</v>
      </c>
      <c r="X29" s="21">
        <v>49.2</v>
      </c>
      <c r="AB29">
        <v>-66.94</v>
      </c>
      <c r="AC29">
        <v>688.51</v>
      </c>
      <c r="AD29">
        <v>51.95</v>
      </c>
      <c r="AE29">
        <f t="shared" si="13"/>
        <v>-1.4099999999999966</v>
      </c>
      <c r="AF29" s="6">
        <f t="shared" si="14"/>
        <v>1.3799999999999955</v>
      </c>
      <c r="AG29">
        <f t="shared" si="15"/>
        <v>2.2399999999999949</v>
      </c>
      <c r="AH29" s="3">
        <f t="shared" si="16"/>
        <v>0.83000000000004093</v>
      </c>
      <c r="AI29">
        <f t="shared" si="17"/>
        <v>1.7900000000000773</v>
      </c>
      <c r="AJ29" s="20">
        <f t="shared" si="18"/>
        <v>-2.75</v>
      </c>
    </row>
    <row r="30" spans="1:36" x14ac:dyDescent="0.3">
      <c r="A30" s="8"/>
      <c r="C30">
        <v>791</v>
      </c>
      <c r="D30">
        <v>398</v>
      </c>
      <c r="F30">
        <v>189.62</v>
      </c>
      <c r="G30">
        <v>35.5</v>
      </c>
      <c r="H30">
        <v>756</v>
      </c>
      <c r="J30">
        <v>185.56</v>
      </c>
      <c r="K30">
        <v>34.74</v>
      </c>
      <c r="L30">
        <v>739.79</v>
      </c>
      <c r="N30">
        <v>189</v>
      </c>
      <c r="O30">
        <v>37</v>
      </c>
      <c r="P30">
        <v>756</v>
      </c>
      <c r="R30">
        <v>183.92</v>
      </c>
      <c r="S30">
        <v>37.85</v>
      </c>
      <c r="T30">
        <v>739.97</v>
      </c>
      <c r="U30" s="21"/>
      <c r="V30" s="21">
        <v>-162.41999999999999</v>
      </c>
      <c r="W30" s="21">
        <v>690.15</v>
      </c>
      <c r="X30" s="21">
        <v>49.73</v>
      </c>
      <c r="AB30">
        <v>-163.98</v>
      </c>
      <c r="AC30">
        <v>687.68</v>
      </c>
      <c r="AD30">
        <v>51.67</v>
      </c>
      <c r="AE30">
        <f t="shared" si="13"/>
        <v>-1.6400000000000148</v>
      </c>
      <c r="AF30" s="6">
        <f t="shared" si="14"/>
        <v>1.5600000000000023</v>
      </c>
      <c r="AG30">
        <f t="shared" si="15"/>
        <v>3.1099999999999994</v>
      </c>
      <c r="AH30" s="3">
        <f t="shared" si="16"/>
        <v>2.4700000000000273</v>
      </c>
      <c r="AI30">
        <f t="shared" si="17"/>
        <v>0.18000000000006366</v>
      </c>
      <c r="AJ30" s="20">
        <f t="shared" si="18"/>
        <v>-1.9400000000000048</v>
      </c>
    </row>
    <row r="31" spans="1:36" x14ac:dyDescent="0.3">
      <c r="A31" s="8"/>
    </row>
    <row r="32" spans="1:36" x14ac:dyDescent="0.3">
      <c r="A32" s="8" t="s">
        <v>27</v>
      </c>
      <c r="B32" t="s">
        <v>0</v>
      </c>
      <c r="C32" t="s">
        <v>1</v>
      </c>
      <c r="D32" t="s">
        <v>2</v>
      </c>
      <c r="E32" t="s">
        <v>6</v>
      </c>
      <c r="F32" t="s">
        <v>1</v>
      </c>
      <c r="G32" t="s">
        <v>2</v>
      </c>
      <c r="H32" t="s">
        <v>3</v>
      </c>
      <c r="I32" t="s">
        <v>15</v>
      </c>
      <c r="J32" t="s">
        <v>1</v>
      </c>
      <c r="K32" t="s">
        <v>2</v>
      </c>
      <c r="L32" t="s">
        <v>3</v>
      </c>
      <c r="M32" t="s">
        <v>9</v>
      </c>
      <c r="N32" t="s">
        <v>1</v>
      </c>
      <c r="O32" t="s">
        <v>2</v>
      </c>
      <c r="P32" t="s">
        <v>3</v>
      </c>
      <c r="Q32" t="s">
        <v>17</v>
      </c>
      <c r="R32" t="s">
        <v>1</v>
      </c>
      <c r="S32" t="s">
        <v>2</v>
      </c>
      <c r="T32" t="s">
        <v>3</v>
      </c>
      <c r="U32" s="21" t="s">
        <v>18</v>
      </c>
      <c r="V32" s="21" t="s">
        <v>1</v>
      </c>
      <c r="W32" s="21" t="s">
        <v>2</v>
      </c>
      <c r="X32" s="21" t="s">
        <v>3</v>
      </c>
      <c r="AA32" t="s">
        <v>16</v>
      </c>
      <c r="AB32" t="s">
        <v>1</v>
      </c>
      <c r="AC32" t="s">
        <v>2</v>
      </c>
      <c r="AD32" t="s">
        <v>3</v>
      </c>
      <c r="AE32" t="s">
        <v>20</v>
      </c>
      <c r="AF32" s="6" t="s">
        <v>21</v>
      </c>
      <c r="AG32" t="s">
        <v>22</v>
      </c>
      <c r="AH32" s="3" t="s">
        <v>23</v>
      </c>
      <c r="AI32" t="s">
        <v>24</v>
      </c>
      <c r="AJ32" s="20" t="s">
        <v>25</v>
      </c>
    </row>
    <row r="33" spans="1:36" x14ac:dyDescent="0.3">
      <c r="A33" s="8"/>
      <c r="C33">
        <v>522</v>
      </c>
      <c r="D33">
        <v>352</v>
      </c>
      <c r="F33">
        <v>-147.82</v>
      </c>
      <c r="G33">
        <v>-22.27</v>
      </c>
      <c r="H33">
        <v>799</v>
      </c>
      <c r="J33">
        <v>-144.93</v>
      </c>
      <c r="K33">
        <v>-21.83</v>
      </c>
      <c r="L33">
        <v>783.39</v>
      </c>
      <c r="N33">
        <v>-151</v>
      </c>
      <c r="O33">
        <v>-21</v>
      </c>
      <c r="P33">
        <v>799</v>
      </c>
      <c r="R33">
        <v>-144.99</v>
      </c>
      <c r="S33">
        <v>-20.91</v>
      </c>
      <c r="T33">
        <v>781.92</v>
      </c>
      <c r="U33" s="21"/>
      <c r="V33" s="21">
        <v>168</v>
      </c>
      <c r="W33" s="21">
        <v>625.03</v>
      </c>
      <c r="X33" s="21">
        <v>49.5</v>
      </c>
      <c r="AB33">
        <v>167.97</v>
      </c>
      <c r="AC33">
        <v>623.42999999999995</v>
      </c>
      <c r="AD33">
        <v>48.83</v>
      </c>
      <c r="AE33">
        <f t="shared" ref="AE33:AE40" si="19">R33-J33</f>
        <v>-6.0000000000002274E-2</v>
      </c>
      <c r="AF33" s="6">
        <f t="shared" ref="AF33:AF40" si="20">V33-AB33</f>
        <v>3.0000000000001137E-2</v>
      </c>
      <c r="AG33">
        <f t="shared" ref="AG33:AG40" si="21">S33-K33</f>
        <v>0.91999999999999815</v>
      </c>
      <c r="AH33" s="3">
        <f t="shared" ref="AH33:AH40" si="22">W33-AC33</f>
        <v>1.6000000000000227</v>
      </c>
      <c r="AI33">
        <f t="shared" ref="AI33:AI40" si="23">T33-L33</f>
        <v>-1.4700000000000273</v>
      </c>
      <c r="AJ33" s="20">
        <f t="shared" ref="AJ33:AJ40" si="24">X33-AD33</f>
        <v>0.67000000000000171</v>
      </c>
    </row>
    <row r="34" spans="1:36" x14ac:dyDescent="0.3">
      <c r="A34" s="8"/>
      <c r="C34">
        <v>598</v>
      </c>
      <c r="D34">
        <v>352</v>
      </c>
      <c r="F34">
        <v>-49.25</v>
      </c>
      <c r="G34">
        <v>-22.18</v>
      </c>
      <c r="H34">
        <v>796</v>
      </c>
      <c r="J34">
        <v>-48.17</v>
      </c>
      <c r="K34">
        <v>-21.7</v>
      </c>
      <c r="L34">
        <v>778.58</v>
      </c>
      <c r="N34">
        <v>-52</v>
      </c>
      <c r="O34">
        <v>-21</v>
      </c>
      <c r="P34">
        <v>796</v>
      </c>
      <c r="R34">
        <v>-48.18</v>
      </c>
      <c r="S34">
        <v>-18.45</v>
      </c>
      <c r="T34">
        <v>779.91</v>
      </c>
      <c r="U34" s="21"/>
      <c r="V34" s="21">
        <v>71.14</v>
      </c>
      <c r="W34" s="21">
        <v>626.12</v>
      </c>
      <c r="X34" s="21">
        <v>49.7</v>
      </c>
      <c r="AB34">
        <v>71.17</v>
      </c>
      <c r="AC34">
        <v>624.23</v>
      </c>
      <c r="AD34">
        <v>52.66</v>
      </c>
      <c r="AE34">
        <f t="shared" si="19"/>
        <v>-9.9999999999980105E-3</v>
      </c>
      <c r="AF34" s="6">
        <f t="shared" si="20"/>
        <v>-3.0000000000001137E-2</v>
      </c>
      <c r="AG34">
        <f t="shared" si="21"/>
        <v>3.25</v>
      </c>
      <c r="AH34" s="3">
        <f t="shared" si="22"/>
        <v>1.8899999999999864</v>
      </c>
      <c r="AI34">
        <f t="shared" si="23"/>
        <v>1.3299999999999272</v>
      </c>
      <c r="AJ34" s="20">
        <f t="shared" si="24"/>
        <v>-2.9599999999999937</v>
      </c>
    </row>
    <row r="35" spans="1:36" x14ac:dyDescent="0.3">
      <c r="A35" s="8"/>
      <c r="C35">
        <v>680</v>
      </c>
      <c r="D35">
        <v>352</v>
      </c>
      <c r="F35">
        <v>56.36</v>
      </c>
      <c r="G35">
        <v>-22.13</v>
      </c>
      <c r="H35">
        <v>794</v>
      </c>
      <c r="J35">
        <v>55.08</v>
      </c>
      <c r="K35">
        <v>-21.62</v>
      </c>
      <c r="L35">
        <v>775.97</v>
      </c>
      <c r="N35">
        <v>55</v>
      </c>
      <c r="O35">
        <v>-21</v>
      </c>
      <c r="P35">
        <v>794</v>
      </c>
      <c r="R35">
        <v>54.31</v>
      </c>
      <c r="S35">
        <v>-18.13</v>
      </c>
      <c r="T35">
        <v>779.37</v>
      </c>
      <c r="U35" s="21"/>
      <c r="V35" s="21">
        <v>-31.35</v>
      </c>
      <c r="W35" s="21">
        <v>624.49</v>
      </c>
      <c r="X35" s="21">
        <v>49.95</v>
      </c>
      <c r="AB35">
        <v>-32.090000000000003</v>
      </c>
      <c r="AC35">
        <v>623.58000000000004</v>
      </c>
      <c r="AD35">
        <v>54.75</v>
      </c>
      <c r="AE35">
        <f t="shared" si="19"/>
        <v>-0.76999999999999602</v>
      </c>
      <c r="AF35" s="6">
        <f t="shared" si="20"/>
        <v>0.74000000000000199</v>
      </c>
      <c r="AG35">
        <f t="shared" si="21"/>
        <v>3.490000000000002</v>
      </c>
      <c r="AH35" s="3">
        <f t="shared" si="22"/>
        <v>0.90999999999996817</v>
      </c>
      <c r="AI35">
        <f t="shared" si="23"/>
        <v>3.3999999999999773</v>
      </c>
      <c r="AJ35" s="20">
        <f t="shared" si="24"/>
        <v>-4.7999999999999972</v>
      </c>
    </row>
    <row r="36" spans="1:36" x14ac:dyDescent="0.3">
      <c r="A36" s="8"/>
      <c r="C36">
        <v>756</v>
      </c>
      <c r="D36">
        <v>352</v>
      </c>
      <c r="F36">
        <v>154.71</v>
      </c>
      <c r="G36">
        <v>-22.21</v>
      </c>
      <c r="H36">
        <v>797</v>
      </c>
      <c r="J36">
        <v>151.34</v>
      </c>
      <c r="K36">
        <v>-21.73</v>
      </c>
      <c r="L36">
        <v>779.62</v>
      </c>
      <c r="N36">
        <v>154</v>
      </c>
      <c r="O36">
        <v>-21</v>
      </c>
      <c r="P36">
        <v>797</v>
      </c>
      <c r="R36">
        <v>151.11000000000001</v>
      </c>
      <c r="S36">
        <v>-17.27</v>
      </c>
      <c r="T36">
        <v>778.22</v>
      </c>
      <c r="U36" s="21"/>
      <c r="V36" s="21">
        <v>-128.15</v>
      </c>
      <c r="W36" s="21">
        <v>623.77</v>
      </c>
      <c r="X36" s="21">
        <v>50.39</v>
      </c>
      <c r="AB36">
        <v>-128.28</v>
      </c>
      <c r="AC36">
        <v>619.32000000000005</v>
      </c>
      <c r="AD36">
        <v>51.82</v>
      </c>
      <c r="AE36">
        <f t="shared" si="19"/>
        <v>-0.22999999999998977</v>
      </c>
      <c r="AF36" s="6">
        <f t="shared" si="20"/>
        <v>0.12999999999999545</v>
      </c>
      <c r="AG36">
        <f t="shared" si="21"/>
        <v>4.4600000000000009</v>
      </c>
      <c r="AH36" s="3">
        <f t="shared" si="22"/>
        <v>4.4499999999999318</v>
      </c>
      <c r="AI36">
        <f t="shared" si="23"/>
        <v>-1.3999999999999773</v>
      </c>
      <c r="AJ36" s="20">
        <f t="shared" si="24"/>
        <v>-1.4299999999999997</v>
      </c>
    </row>
    <row r="37" spans="1:36" x14ac:dyDescent="0.3">
      <c r="A37" s="8"/>
      <c r="C37">
        <v>511</v>
      </c>
      <c r="D37">
        <v>418</v>
      </c>
      <c r="F37">
        <v>-151.31</v>
      </c>
      <c r="G37">
        <v>59.31</v>
      </c>
      <c r="H37">
        <v>746</v>
      </c>
      <c r="J37">
        <v>-147.88</v>
      </c>
      <c r="K37">
        <v>57.96</v>
      </c>
      <c r="L37">
        <v>729.06</v>
      </c>
      <c r="N37">
        <v>-154</v>
      </c>
      <c r="O37">
        <v>61</v>
      </c>
      <c r="P37">
        <v>746</v>
      </c>
      <c r="R37">
        <v>-147.07</v>
      </c>
      <c r="S37">
        <v>58.36</v>
      </c>
      <c r="T37">
        <v>725.98</v>
      </c>
      <c r="U37" s="21"/>
      <c r="V37" s="21">
        <v>167.99</v>
      </c>
      <c r="W37" s="21">
        <v>722.08</v>
      </c>
      <c r="X37" s="21">
        <v>49.32</v>
      </c>
      <c r="AB37">
        <v>168.84</v>
      </c>
      <c r="AC37">
        <v>719.99</v>
      </c>
      <c r="AD37">
        <v>47.03</v>
      </c>
      <c r="AE37">
        <f t="shared" si="19"/>
        <v>0.81000000000000227</v>
      </c>
      <c r="AF37" s="6">
        <f t="shared" si="20"/>
        <v>-0.84999999999999432</v>
      </c>
      <c r="AG37">
        <f t="shared" si="21"/>
        <v>0.39999999999999858</v>
      </c>
      <c r="AH37" s="3">
        <f t="shared" si="22"/>
        <v>2.0900000000000318</v>
      </c>
      <c r="AI37">
        <f t="shared" si="23"/>
        <v>-3.0799999999999272</v>
      </c>
      <c r="AJ37" s="20">
        <f t="shared" si="24"/>
        <v>2.2899999999999991</v>
      </c>
    </row>
    <row r="38" spans="1:36" x14ac:dyDescent="0.3">
      <c r="A38" s="8"/>
      <c r="C38">
        <v>594</v>
      </c>
      <c r="D38">
        <v>420</v>
      </c>
      <c r="F38">
        <v>-50.72</v>
      </c>
      <c r="G38">
        <v>61.4</v>
      </c>
      <c r="H38">
        <v>742</v>
      </c>
      <c r="J38">
        <v>-49.55</v>
      </c>
      <c r="K38">
        <v>59.99</v>
      </c>
      <c r="L38">
        <v>724.91</v>
      </c>
      <c r="N38">
        <v>-53</v>
      </c>
      <c r="O38">
        <v>63</v>
      </c>
      <c r="P38">
        <v>742</v>
      </c>
      <c r="R38">
        <v>-49.64</v>
      </c>
      <c r="S38">
        <v>60.99</v>
      </c>
      <c r="T38">
        <v>724.53</v>
      </c>
      <c r="U38" s="21"/>
      <c r="V38" s="21">
        <v>70.52</v>
      </c>
      <c r="W38" s="21">
        <v>722.97</v>
      </c>
      <c r="X38" s="21">
        <v>48.98</v>
      </c>
      <c r="AB38">
        <v>70.45</v>
      </c>
      <c r="AC38">
        <v>721.93</v>
      </c>
      <c r="AD38">
        <v>49.24</v>
      </c>
      <c r="AE38">
        <f t="shared" si="19"/>
        <v>-9.0000000000003411E-2</v>
      </c>
      <c r="AF38" s="6">
        <f t="shared" si="20"/>
        <v>6.9999999999993179E-2</v>
      </c>
      <c r="AG38">
        <f t="shared" si="21"/>
        <v>1</v>
      </c>
      <c r="AH38" s="3">
        <f t="shared" si="22"/>
        <v>1.0400000000000773</v>
      </c>
      <c r="AI38">
        <f t="shared" si="23"/>
        <v>-0.37999999999999545</v>
      </c>
      <c r="AJ38" s="20">
        <f t="shared" si="24"/>
        <v>-0.26000000000000512</v>
      </c>
    </row>
    <row r="39" spans="1:36" x14ac:dyDescent="0.3">
      <c r="A39" s="8"/>
      <c r="C39">
        <v>681</v>
      </c>
      <c r="D39">
        <v>421</v>
      </c>
      <c r="F39">
        <v>53.58</v>
      </c>
      <c r="G39">
        <v>62.27</v>
      </c>
      <c r="H39">
        <v>738</v>
      </c>
      <c r="J39">
        <v>52.39</v>
      </c>
      <c r="K39">
        <v>60.89</v>
      </c>
      <c r="L39">
        <v>721.62</v>
      </c>
      <c r="N39">
        <v>53</v>
      </c>
      <c r="O39">
        <v>64</v>
      </c>
      <c r="P39">
        <v>738</v>
      </c>
      <c r="R39">
        <v>52.58</v>
      </c>
      <c r="S39">
        <v>63.04</v>
      </c>
      <c r="T39">
        <v>722.77</v>
      </c>
      <c r="U39" s="21"/>
      <c r="V39" s="21">
        <v>-31.74</v>
      </c>
      <c r="W39" s="21">
        <v>723.47</v>
      </c>
      <c r="X39" s="21">
        <v>49.22</v>
      </c>
      <c r="AB39">
        <v>-31.52</v>
      </c>
      <c r="AC39">
        <v>722.38</v>
      </c>
      <c r="AD39">
        <v>51.4</v>
      </c>
      <c r="AE39">
        <f t="shared" si="19"/>
        <v>0.18999999999999773</v>
      </c>
      <c r="AF39" s="6">
        <f t="shared" si="20"/>
        <v>-0.21999999999999886</v>
      </c>
      <c r="AG39">
        <f t="shared" si="21"/>
        <v>2.1499999999999986</v>
      </c>
      <c r="AH39" s="3">
        <f t="shared" si="22"/>
        <v>1.0900000000000318</v>
      </c>
      <c r="AI39">
        <f t="shared" si="23"/>
        <v>1.1499999999999773</v>
      </c>
      <c r="AJ39" s="20">
        <f t="shared" si="24"/>
        <v>-2.1799999999999997</v>
      </c>
    </row>
    <row r="40" spans="1:36" x14ac:dyDescent="0.3">
      <c r="A40" s="8"/>
      <c r="C40">
        <v>766</v>
      </c>
      <c r="D40">
        <v>422</v>
      </c>
      <c r="F40">
        <v>155.21</v>
      </c>
      <c r="G40">
        <v>63.47</v>
      </c>
      <c r="H40">
        <v>738</v>
      </c>
      <c r="J40">
        <v>151.75</v>
      </c>
      <c r="K40">
        <v>62.06</v>
      </c>
      <c r="L40">
        <v>721.52</v>
      </c>
      <c r="N40">
        <v>155</v>
      </c>
      <c r="O40">
        <v>65</v>
      </c>
      <c r="P40">
        <v>738</v>
      </c>
      <c r="R40">
        <v>149.83000000000001</v>
      </c>
      <c r="S40">
        <v>64.38</v>
      </c>
      <c r="T40">
        <v>721.02</v>
      </c>
      <c r="U40" s="21"/>
      <c r="V40" s="21">
        <v>-129.01</v>
      </c>
      <c r="W40" s="21">
        <v>723.48</v>
      </c>
      <c r="X40" s="21">
        <v>49.86</v>
      </c>
      <c r="AB40">
        <v>-130.88</v>
      </c>
      <c r="AC40">
        <v>721.25</v>
      </c>
      <c r="AD40">
        <v>50.79</v>
      </c>
      <c r="AE40">
        <f t="shared" si="19"/>
        <v>-1.9199999999999875</v>
      </c>
      <c r="AF40" s="6">
        <f t="shared" si="20"/>
        <v>1.8700000000000045</v>
      </c>
      <c r="AG40">
        <f t="shared" si="21"/>
        <v>2.3199999999999932</v>
      </c>
      <c r="AH40" s="3">
        <f t="shared" si="22"/>
        <v>2.2300000000000182</v>
      </c>
      <c r="AI40">
        <f t="shared" si="23"/>
        <v>-0.5</v>
      </c>
      <c r="AJ40" s="20">
        <f t="shared" si="24"/>
        <v>-0.92999999999999972</v>
      </c>
    </row>
    <row r="41" spans="1:36" x14ac:dyDescent="0.3">
      <c r="A41" s="8"/>
    </row>
    <row r="42" spans="1:36" x14ac:dyDescent="0.3">
      <c r="A42" s="8" t="s">
        <v>28</v>
      </c>
      <c r="B42" t="s">
        <v>0</v>
      </c>
      <c r="C42" t="s">
        <v>1</v>
      </c>
      <c r="D42" t="s">
        <v>2</v>
      </c>
      <c r="E42" t="s">
        <v>6</v>
      </c>
      <c r="F42" t="s">
        <v>1</v>
      </c>
      <c r="G42" t="s">
        <v>2</v>
      </c>
      <c r="H42" t="s">
        <v>3</v>
      </c>
      <c r="I42" t="s">
        <v>15</v>
      </c>
      <c r="J42" t="s">
        <v>1</v>
      </c>
      <c r="K42" t="s">
        <v>2</v>
      </c>
      <c r="L42" t="s">
        <v>3</v>
      </c>
      <c r="M42" t="s">
        <v>9</v>
      </c>
      <c r="N42" t="s">
        <v>1</v>
      </c>
      <c r="O42" t="s">
        <v>2</v>
      </c>
      <c r="P42" t="s">
        <v>3</v>
      </c>
      <c r="Q42" t="s">
        <v>17</v>
      </c>
      <c r="R42" t="s">
        <v>1</v>
      </c>
      <c r="S42" t="s">
        <v>2</v>
      </c>
      <c r="T42" t="s">
        <v>3</v>
      </c>
      <c r="U42" s="21" t="s">
        <v>18</v>
      </c>
      <c r="V42" s="21" t="s">
        <v>1</v>
      </c>
      <c r="W42" s="21" t="s">
        <v>2</v>
      </c>
      <c r="X42" s="21" t="s">
        <v>3</v>
      </c>
      <c r="AA42" t="s">
        <v>16</v>
      </c>
      <c r="AB42" t="s">
        <v>1</v>
      </c>
      <c r="AC42" t="s">
        <v>2</v>
      </c>
      <c r="AD42" t="s">
        <v>3</v>
      </c>
      <c r="AE42" t="s">
        <v>20</v>
      </c>
      <c r="AF42" s="6" t="s">
        <v>21</v>
      </c>
      <c r="AG42" t="s">
        <v>22</v>
      </c>
      <c r="AH42" s="3" t="s">
        <v>23</v>
      </c>
      <c r="AI42" t="s">
        <v>24</v>
      </c>
      <c r="AJ42" s="20" t="s">
        <v>25</v>
      </c>
    </row>
    <row r="43" spans="1:36" x14ac:dyDescent="0.3">
      <c r="A43" s="8"/>
      <c r="C43">
        <v>547</v>
      </c>
      <c r="D43">
        <v>352</v>
      </c>
      <c r="F43">
        <v>-115.46</v>
      </c>
      <c r="G43">
        <v>-22.27</v>
      </c>
      <c r="H43">
        <v>799</v>
      </c>
      <c r="J43">
        <v>-113.22</v>
      </c>
      <c r="K43">
        <v>-21.83</v>
      </c>
      <c r="L43">
        <v>783.5</v>
      </c>
      <c r="N43">
        <v>-119</v>
      </c>
      <c r="O43">
        <v>-21</v>
      </c>
      <c r="P43">
        <v>799</v>
      </c>
      <c r="R43">
        <v>-112.58</v>
      </c>
      <c r="S43">
        <v>-20.350000000000001</v>
      </c>
      <c r="T43">
        <v>781.2</v>
      </c>
      <c r="U43" s="21"/>
      <c r="V43" s="21">
        <v>135.58000000000001</v>
      </c>
      <c r="W43" s="21">
        <v>625.21</v>
      </c>
      <c r="X43" s="21">
        <v>49.76</v>
      </c>
      <c r="AB43">
        <v>136.26</v>
      </c>
      <c r="AC43">
        <v>622.67999999999995</v>
      </c>
      <c r="AD43">
        <v>48.73</v>
      </c>
      <c r="AE43">
        <f t="shared" ref="AE43:AE50" si="25">R43-J43</f>
        <v>0.64000000000000057</v>
      </c>
      <c r="AF43" s="6">
        <f t="shared" ref="AF43:AF50" si="26">V43-AB43</f>
        <v>-0.6799999999999784</v>
      </c>
      <c r="AG43">
        <f t="shared" ref="AG43:AG50" si="27">S43-K43</f>
        <v>1.4799999999999969</v>
      </c>
      <c r="AH43" s="3">
        <f t="shared" ref="AH43:AH50" si="28">W43-AC43</f>
        <v>2.5300000000000864</v>
      </c>
      <c r="AI43">
        <f t="shared" ref="AI43:AI50" si="29">T43-L43</f>
        <v>-2.2999999999999545</v>
      </c>
      <c r="AJ43" s="20">
        <f t="shared" ref="AJ43:AJ50" si="30">X43-AD43</f>
        <v>1.0300000000000011</v>
      </c>
    </row>
    <row r="44" spans="1:36" x14ac:dyDescent="0.3">
      <c r="A44" s="8"/>
      <c r="C44">
        <v>624</v>
      </c>
      <c r="D44">
        <v>353</v>
      </c>
      <c r="F44">
        <v>-15.74</v>
      </c>
      <c r="G44">
        <v>-20.91</v>
      </c>
      <c r="H44">
        <v>797</v>
      </c>
      <c r="J44">
        <v>-15.4</v>
      </c>
      <c r="K44">
        <v>-20.47</v>
      </c>
      <c r="L44">
        <v>780.08</v>
      </c>
      <c r="N44">
        <v>-18</v>
      </c>
      <c r="O44">
        <v>-19</v>
      </c>
      <c r="P44">
        <v>797</v>
      </c>
      <c r="R44">
        <v>-15.3</v>
      </c>
      <c r="S44">
        <v>-18.600000000000001</v>
      </c>
      <c r="T44">
        <v>779.76</v>
      </c>
      <c r="U44" s="21"/>
      <c r="V44" s="21">
        <v>38.270000000000003</v>
      </c>
      <c r="W44" s="21">
        <v>625.38</v>
      </c>
      <c r="X44" s="21">
        <v>49.91</v>
      </c>
      <c r="AB44">
        <v>38.4</v>
      </c>
      <c r="AC44">
        <v>623.66</v>
      </c>
      <c r="AD44">
        <v>50.72</v>
      </c>
      <c r="AE44">
        <f t="shared" si="25"/>
        <v>9.9999999999999645E-2</v>
      </c>
      <c r="AF44" s="6">
        <f t="shared" si="26"/>
        <v>-0.12999999999999545</v>
      </c>
      <c r="AG44">
        <f t="shared" si="27"/>
        <v>1.8699999999999974</v>
      </c>
      <c r="AH44" s="3">
        <f t="shared" si="28"/>
        <v>1.7200000000000273</v>
      </c>
      <c r="AI44">
        <f t="shared" si="29"/>
        <v>-0.32000000000005002</v>
      </c>
      <c r="AJ44" s="20">
        <f t="shared" si="30"/>
        <v>-0.81000000000000227</v>
      </c>
    </row>
    <row r="45" spans="1:36" x14ac:dyDescent="0.3">
      <c r="A45" s="8"/>
      <c r="C45">
        <v>707</v>
      </c>
      <c r="D45">
        <v>353</v>
      </c>
      <c r="F45">
        <v>90.98</v>
      </c>
      <c r="G45">
        <v>-20.81</v>
      </c>
      <c r="H45">
        <v>793</v>
      </c>
      <c r="J45">
        <v>88.87</v>
      </c>
      <c r="K45">
        <v>-20.329999999999998</v>
      </c>
      <c r="L45">
        <v>774.68</v>
      </c>
      <c r="N45">
        <v>90</v>
      </c>
      <c r="O45">
        <v>-19</v>
      </c>
      <c r="P45">
        <v>793</v>
      </c>
      <c r="R45">
        <v>88.78</v>
      </c>
      <c r="S45">
        <v>-17.52</v>
      </c>
      <c r="T45">
        <v>778.64</v>
      </c>
      <c r="U45" s="21"/>
      <c r="V45" s="21">
        <v>-65.83</v>
      </c>
      <c r="W45" s="21">
        <v>624.66999999999996</v>
      </c>
      <c r="X45" s="21">
        <v>50.19</v>
      </c>
      <c r="AB45">
        <v>-65.92</v>
      </c>
      <c r="AC45">
        <v>624.66</v>
      </c>
      <c r="AD45">
        <v>55.04</v>
      </c>
      <c r="AE45">
        <f t="shared" si="25"/>
        <v>-9.0000000000003411E-2</v>
      </c>
      <c r="AF45" s="6">
        <f t="shared" si="26"/>
        <v>9.0000000000003411E-2</v>
      </c>
      <c r="AG45">
        <f t="shared" si="27"/>
        <v>2.8099999999999987</v>
      </c>
      <c r="AH45" s="3">
        <f t="shared" si="28"/>
        <v>9.9999999999909051E-3</v>
      </c>
      <c r="AI45">
        <f t="shared" si="29"/>
        <v>3.9600000000000364</v>
      </c>
      <c r="AJ45" s="20">
        <f t="shared" si="30"/>
        <v>-4.8500000000000014</v>
      </c>
    </row>
    <row r="46" spans="1:36" x14ac:dyDescent="0.3">
      <c r="A46" s="8"/>
      <c r="C46">
        <v>783</v>
      </c>
      <c r="D46">
        <v>352</v>
      </c>
      <c r="F46">
        <v>189.1</v>
      </c>
      <c r="G46">
        <v>-22.15</v>
      </c>
      <c r="H46">
        <v>795</v>
      </c>
      <c r="J46">
        <v>184.96</v>
      </c>
      <c r="K46">
        <v>-21.67</v>
      </c>
      <c r="L46">
        <v>777.58</v>
      </c>
      <c r="N46">
        <v>189</v>
      </c>
      <c r="O46">
        <v>-21</v>
      </c>
      <c r="P46">
        <v>795</v>
      </c>
      <c r="R46">
        <v>185.22</v>
      </c>
      <c r="S46">
        <v>-16.93</v>
      </c>
      <c r="T46">
        <v>777.99</v>
      </c>
      <c r="U46" s="21"/>
      <c r="V46" s="21">
        <v>-162.26</v>
      </c>
      <c r="W46" s="21">
        <v>623.45000000000005</v>
      </c>
      <c r="X46" s="21">
        <v>50.38</v>
      </c>
      <c r="AB46">
        <v>-161.91999999999999</v>
      </c>
      <c r="AC46">
        <v>619.82000000000005</v>
      </c>
      <c r="AD46">
        <v>53.45</v>
      </c>
      <c r="AE46">
        <f t="shared" si="25"/>
        <v>0.25999999999999091</v>
      </c>
      <c r="AF46" s="6">
        <f t="shared" si="26"/>
        <v>-0.34000000000000341</v>
      </c>
      <c r="AG46">
        <f t="shared" si="27"/>
        <v>4.740000000000002</v>
      </c>
      <c r="AH46" s="3">
        <f t="shared" si="28"/>
        <v>3.6299999999999955</v>
      </c>
      <c r="AI46">
        <f t="shared" si="29"/>
        <v>0.40999999999996817</v>
      </c>
      <c r="AJ46" s="20">
        <f t="shared" si="30"/>
        <v>-3.0700000000000003</v>
      </c>
    </row>
    <row r="47" spans="1:36" x14ac:dyDescent="0.3">
      <c r="A47" s="8"/>
      <c r="C47">
        <v>540</v>
      </c>
      <c r="D47">
        <v>419</v>
      </c>
      <c r="F47">
        <v>-116.1</v>
      </c>
      <c r="G47">
        <v>60.44</v>
      </c>
      <c r="H47">
        <v>745</v>
      </c>
      <c r="J47">
        <v>-113.49</v>
      </c>
      <c r="K47">
        <v>59.34</v>
      </c>
      <c r="L47">
        <v>725.45</v>
      </c>
      <c r="N47">
        <v>-119</v>
      </c>
      <c r="O47">
        <v>62</v>
      </c>
      <c r="P47">
        <v>745</v>
      </c>
      <c r="R47">
        <v>-113.49</v>
      </c>
      <c r="S47">
        <v>59.34</v>
      </c>
      <c r="T47">
        <v>725.45</v>
      </c>
      <c r="U47" s="21"/>
      <c r="V47" s="21">
        <v>134.4</v>
      </c>
      <c r="W47" s="21">
        <v>722.46</v>
      </c>
      <c r="X47" s="21">
        <v>49.18</v>
      </c>
      <c r="AB47">
        <v>134.38</v>
      </c>
      <c r="AC47">
        <v>720.79</v>
      </c>
      <c r="AD47">
        <v>47.32</v>
      </c>
      <c r="AE47">
        <f t="shared" si="25"/>
        <v>0</v>
      </c>
      <c r="AF47" s="6">
        <f t="shared" si="26"/>
        <v>2.0000000000010232E-2</v>
      </c>
      <c r="AG47">
        <f t="shared" si="27"/>
        <v>0</v>
      </c>
      <c r="AH47" s="3">
        <f t="shared" si="28"/>
        <v>1.6700000000000728</v>
      </c>
      <c r="AI47">
        <f t="shared" si="29"/>
        <v>0</v>
      </c>
      <c r="AJ47" s="20">
        <f t="shared" si="30"/>
        <v>1.8599999999999994</v>
      </c>
    </row>
    <row r="48" spans="1:36" x14ac:dyDescent="0.3">
      <c r="A48" s="8"/>
      <c r="C48">
        <v>623</v>
      </c>
      <c r="D48">
        <v>419</v>
      </c>
      <c r="F48">
        <v>-15.87</v>
      </c>
      <c r="G48">
        <v>60.28</v>
      </c>
      <c r="H48">
        <v>743</v>
      </c>
      <c r="J48">
        <v>-15.51</v>
      </c>
      <c r="K48">
        <v>58.9</v>
      </c>
      <c r="L48">
        <v>725.97</v>
      </c>
      <c r="N48">
        <v>-18</v>
      </c>
      <c r="O48">
        <v>62</v>
      </c>
      <c r="P48">
        <v>743</v>
      </c>
      <c r="R48">
        <v>-16.05</v>
      </c>
      <c r="S48">
        <v>60.71</v>
      </c>
      <c r="T48">
        <v>724.51</v>
      </c>
      <c r="U48" s="21"/>
      <c r="V48" s="21">
        <v>36.94</v>
      </c>
      <c r="W48" s="21">
        <v>722.03</v>
      </c>
      <c r="X48" s="21">
        <v>49.15</v>
      </c>
      <c r="AB48">
        <v>36.450000000000003</v>
      </c>
      <c r="AC48">
        <v>719.69</v>
      </c>
      <c r="AD48">
        <v>49</v>
      </c>
      <c r="AE48">
        <f t="shared" si="25"/>
        <v>-0.54000000000000092</v>
      </c>
      <c r="AF48" s="6">
        <f t="shared" si="26"/>
        <v>0.48999999999999488</v>
      </c>
      <c r="AG48">
        <f t="shared" si="27"/>
        <v>1.8100000000000023</v>
      </c>
      <c r="AH48" s="3">
        <f t="shared" si="28"/>
        <v>2.3399999999999181</v>
      </c>
      <c r="AI48">
        <f t="shared" si="29"/>
        <v>-1.4600000000000364</v>
      </c>
      <c r="AJ48" s="20">
        <f t="shared" si="30"/>
        <v>0.14999999999999858</v>
      </c>
    </row>
    <row r="49" spans="1:36" x14ac:dyDescent="0.3">
      <c r="A49" s="8"/>
      <c r="C49">
        <v>710</v>
      </c>
      <c r="D49">
        <v>421</v>
      </c>
      <c r="F49">
        <v>88.37</v>
      </c>
      <c r="G49">
        <v>62.36</v>
      </c>
      <c r="H49">
        <v>739</v>
      </c>
      <c r="J49">
        <v>86.39</v>
      </c>
      <c r="K49">
        <v>60.96</v>
      </c>
      <c r="L49">
        <v>722.38</v>
      </c>
      <c r="N49">
        <v>88</v>
      </c>
      <c r="O49">
        <v>64</v>
      </c>
      <c r="P49">
        <v>739</v>
      </c>
      <c r="R49">
        <v>86.23</v>
      </c>
      <c r="S49">
        <v>63.76</v>
      </c>
      <c r="T49">
        <v>722.18</v>
      </c>
      <c r="U49" s="21"/>
      <c r="V49" s="21">
        <v>-65.400000000000006</v>
      </c>
      <c r="W49" s="21">
        <v>723.67</v>
      </c>
      <c r="X49" s="21">
        <v>49.28</v>
      </c>
      <c r="AB49">
        <v>-65.5</v>
      </c>
      <c r="AC49">
        <v>721.26</v>
      </c>
      <c r="AD49">
        <v>50.73</v>
      </c>
      <c r="AE49">
        <f t="shared" si="25"/>
        <v>-0.15999999999999659</v>
      </c>
      <c r="AF49" s="6">
        <f t="shared" si="26"/>
        <v>9.9999999999994316E-2</v>
      </c>
      <c r="AG49">
        <f t="shared" si="27"/>
        <v>2.7999999999999972</v>
      </c>
      <c r="AH49" s="3">
        <f t="shared" si="28"/>
        <v>2.4099999999999682</v>
      </c>
      <c r="AI49">
        <f t="shared" si="29"/>
        <v>-0.20000000000004547</v>
      </c>
      <c r="AJ49" s="20">
        <f t="shared" si="30"/>
        <v>-1.4499999999999957</v>
      </c>
    </row>
    <row r="50" spans="1:36" x14ac:dyDescent="0.3">
      <c r="A50" s="8"/>
      <c r="C50">
        <v>794</v>
      </c>
      <c r="D50">
        <v>422</v>
      </c>
      <c r="F50">
        <v>188.18</v>
      </c>
      <c r="G50">
        <v>63.3</v>
      </c>
      <c r="H50">
        <v>736</v>
      </c>
      <c r="J50">
        <v>184.02</v>
      </c>
      <c r="K50">
        <v>61.9</v>
      </c>
      <c r="L50">
        <v>719.71</v>
      </c>
      <c r="N50">
        <v>188</v>
      </c>
      <c r="O50">
        <v>65</v>
      </c>
      <c r="P50">
        <v>736</v>
      </c>
      <c r="R50">
        <v>182.71</v>
      </c>
      <c r="S50">
        <v>64.819999999999993</v>
      </c>
      <c r="T50">
        <v>720.81</v>
      </c>
      <c r="U50" s="21"/>
      <c r="V50" s="21">
        <v>-161.9</v>
      </c>
      <c r="W50" s="21">
        <v>723.25</v>
      </c>
      <c r="X50" s="21">
        <v>49.78</v>
      </c>
      <c r="AB50">
        <v>-163.16</v>
      </c>
      <c r="AC50">
        <v>721.48</v>
      </c>
      <c r="AD50">
        <v>52.36</v>
      </c>
      <c r="AE50">
        <f t="shared" si="25"/>
        <v>-1.3100000000000023</v>
      </c>
      <c r="AF50" s="6">
        <f t="shared" si="26"/>
        <v>1.2599999999999909</v>
      </c>
      <c r="AG50">
        <f t="shared" si="27"/>
        <v>2.9199999999999946</v>
      </c>
      <c r="AH50" s="3">
        <f t="shared" si="28"/>
        <v>1.7699999999999818</v>
      </c>
      <c r="AI50">
        <f t="shared" si="29"/>
        <v>1.0999999999999091</v>
      </c>
      <c r="AJ50" s="20">
        <f t="shared" si="30"/>
        <v>-2.5799999999999983</v>
      </c>
    </row>
    <row r="51" spans="1:36" x14ac:dyDescent="0.3">
      <c r="A51" s="8"/>
    </row>
    <row r="52" spans="1:36" x14ac:dyDescent="0.3">
      <c r="A52" s="8" t="s">
        <v>29</v>
      </c>
      <c r="B52" t="s">
        <v>0</v>
      </c>
      <c r="C52" t="s">
        <v>1</v>
      </c>
      <c r="D52" t="s">
        <v>2</v>
      </c>
      <c r="E52" t="s">
        <v>6</v>
      </c>
      <c r="F52" t="s">
        <v>1</v>
      </c>
      <c r="G52" t="s">
        <v>2</v>
      </c>
      <c r="H52" t="s">
        <v>3</v>
      </c>
      <c r="I52" t="s">
        <v>15</v>
      </c>
      <c r="J52" t="s">
        <v>1</v>
      </c>
      <c r="K52" t="s">
        <v>2</v>
      </c>
      <c r="L52" t="s">
        <v>3</v>
      </c>
      <c r="M52" t="s">
        <v>9</v>
      </c>
      <c r="N52" t="s">
        <v>1</v>
      </c>
      <c r="O52" t="s">
        <v>2</v>
      </c>
      <c r="P52" t="s">
        <v>3</v>
      </c>
      <c r="Q52" t="s">
        <v>17</v>
      </c>
      <c r="R52" t="s">
        <v>1</v>
      </c>
      <c r="S52" t="s">
        <v>2</v>
      </c>
      <c r="T52" t="s">
        <v>3</v>
      </c>
      <c r="U52" s="21" t="s">
        <v>18</v>
      </c>
      <c r="V52" s="21" t="s">
        <v>1</v>
      </c>
      <c r="W52" s="21" t="s">
        <v>2</v>
      </c>
      <c r="X52" s="21" t="s">
        <v>3</v>
      </c>
      <c r="AA52" t="s">
        <v>16</v>
      </c>
      <c r="AB52" t="s">
        <v>1</v>
      </c>
      <c r="AC52" t="s">
        <v>2</v>
      </c>
      <c r="AD52" t="s">
        <v>3</v>
      </c>
      <c r="AE52" t="s">
        <v>20</v>
      </c>
      <c r="AF52" s="6" t="s">
        <v>21</v>
      </c>
      <c r="AG52" t="s">
        <v>22</v>
      </c>
      <c r="AH52" s="3" t="s">
        <v>23</v>
      </c>
      <c r="AI52" t="s">
        <v>24</v>
      </c>
      <c r="AJ52" s="20" t="s">
        <v>25</v>
      </c>
    </row>
    <row r="53" spans="1:36" x14ac:dyDescent="0.3">
      <c r="A53" s="8"/>
      <c r="C53">
        <v>530</v>
      </c>
      <c r="D53">
        <v>323</v>
      </c>
      <c r="F53">
        <v>-133.85</v>
      </c>
      <c r="G53">
        <v>-58.39</v>
      </c>
      <c r="H53">
        <v>778</v>
      </c>
      <c r="J53">
        <v>-131.18</v>
      </c>
      <c r="K53">
        <v>-57.22</v>
      </c>
      <c r="L53">
        <v>762.48</v>
      </c>
      <c r="N53">
        <v>-137</v>
      </c>
      <c r="O53">
        <v>-57</v>
      </c>
      <c r="P53">
        <v>778</v>
      </c>
      <c r="R53">
        <v>-129.43</v>
      </c>
      <c r="S53">
        <v>-55.86</v>
      </c>
      <c r="T53">
        <v>758.93</v>
      </c>
      <c r="U53" s="21"/>
      <c r="V53" s="21">
        <v>152.76</v>
      </c>
      <c r="W53" s="21">
        <v>609.47</v>
      </c>
      <c r="X53" s="21">
        <v>88.46</v>
      </c>
      <c r="AB53">
        <v>154.58000000000001</v>
      </c>
      <c r="AC53">
        <v>606.34</v>
      </c>
      <c r="AD53">
        <v>86.34</v>
      </c>
      <c r="AE53">
        <f t="shared" ref="AE53:AE60" si="31">R53-J53</f>
        <v>1.75</v>
      </c>
      <c r="AF53" s="6">
        <f t="shared" ref="AF53:AF60" si="32">V53-AB53</f>
        <v>-1.8200000000000216</v>
      </c>
      <c r="AG53">
        <f t="shared" ref="AG53:AG60" si="33">S53-K53</f>
        <v>1.3599999999999994</v>
      </c>
      <c r="AH53" s="3">
        <f t="shared" ref="AH53:AH60" si="34">W53-AC53</f>
        <v>3.1299999999999955</v>
      </c>
      <c r="AI53">
        <f t="shared" ref="AI53:AI60" si="35">T53-L53</f>
        <v>-3.5500000000000682</v>
      </c>
      <c r="AJ53" s="20">
        <f t="shared" ref="AJ53:AJ60" si="36">X53-AD53</f>
        <v>2.1199999999999903</v>
      </c>
    </row>
    <row r="54" spans="1:36" x14ac:dyDescent="0.3">
      <c r="A54" s="8"/>
      <c r="C54">
        <v>609</v>
      </c>
      <c r="D54">
        <v>324</v>
      </c>
      <c r="F54">
        <v>-34.049999999999997</v>
      </c>
      <c r="G54">
        <v>-56.76</v>
      </c>
      <c r="H54">
        <v>773</v>
      </c>
      <c r="J54">
        <v>-33.29</v>
      </c>
      <c r="K54">
        <v>-55.49</v>
      </c>
      <c r="L54">
        <v>755.71</v>
      </c>
      <c r="N54">
        <v>-36</v>
      </c>
      <c r="O54">
        <v>-56</v>
      </c>
      <c r="P54">
        <v>773</v>
      </c>
      <c r="R54">
        <v>-32.07</v>
      </c>
      <c r="S54">
        <v>-53.62</v>
      </c>
      <c r="T54">
        <v>758.03</v>
      </c>
      <c r="U54" s="21"/>
      <c r="V54" s="21">
        <v>55.38</v>
      </c>
      <c r="W54" s="21">
        <v>609.72</v>
      </c>
      <c r="X54" s="21">
        <v>87.89</v>
      </c>
      <c r="AB54">
        <v>56.59</v>
      </c>
      <c r="AC54">
        <v>609.55999999999995</v>
      </c>
      <c r="AD54">
        <v>90.85</v>
      </c>
      <c r="AE54">
        <f t="shared" si="31"/>
        <v>1.2199999999999989</v>
      </c>
      <c r="AF54" s="6">
        <f t="shared" si="32"/>
        <v>-1.2100000000000009</v>
      </c>
      <c r="AG54">
        <f t="shared" si="33"/>
        <v>1.8700000000000045</v>
      </c>
      <c r="AH54" s="3">
        <f t="shared" si="34"/>
        <v>0.16000000000008185</v>
      </c>
      <c r="AI54">
        <f t="shared" si="35"/>
        <v>2.3199999999999363</v>
      </c>
      <c r="AJ54" s="20">
        <f t="shared" si="36"/>
        <v>-2.9599999999999937</v>
      </c>
    </row>
    <row r="55" spans="1:36" x14ac:dyDescent="0.3">
      <c r="A55" s="8"/>
      <c r="C55">
        <v>694</v>
      </c>
      <c r="D55">
        <v>324</v>
      </c>
      <c r="F55">
        <v>72.489999999999995</v>
      </c>
      <c r="G55">
        <v>-56.83</v>
      </c>
      <c r="H55">
        <v>774</v>
      </c>
      <c r="J55">
        <v>70.84</v>
      </c>
      <c r="K55">
        <v>-55.54</v>
      </c>
      <c r="L55">
        <v>756.39</v>
      </c>
      <c r="N55">
        <v>72</v>
      </c>
      <c r="O55">
        <v>-56</v>
      </c>
      <c r="P55">
        <v>774</v>
      </c>
      <c r="R55">
        <v>70.680000000000007</v>
      </c>
      <c r="S55">
        <v>-52.93</v>
      </c>
      <c r="T55">
        <v>756.76</v>
      </c>
      <c r="U55" s="21"/>
      <c r="V55" s="21">
        <v>-47.39</v>
      </c>
      <c r="W55" s="21">
        <v>608.80999999999995</v>
      </c>
      <c r="X55" s="21">
        <v>88.52</v>
      </c>
      <c r="AB55">
        <v>-47.5</v>
      </c>
      <c r="AC55">
        <v>606.89</v>
      </c>
      <c r="AD55">
        <v>90.32</v>
      </c>
      <c r="AE55">
        <f t="shared" si="31"/>
        <v>-0.15999999999999659</v>
      </c>
      <c r="AF55" s="6">
        <f t="shared" si="32"/>
        <v>0.10999999999999943</v>
      </c>
      <c r="AG55">
        <f t="shared" si="33"/>
        <v>2.6099999999999994</v>
      </c>
      <c r="AH55" s="3">
        <f t="shared" si="34"/>
        <v>1.9199999999999591</v>
      </c>
      <c r="AI55">
        <f t="shared" si="35"/>
        <v>0.37000000000000455</v>
      </c>
      <c r="AJ55" s="20">
        <f t="shared" si="36"/>
        <v>-1.7999999999999972</v>
      </c>
    </row>
    <row r="56" spans="1:36" x14ac:dyDescent="0.3">
      <c r="A56" s="8"/>
      <c r="C56">
        <v>774</v>
      </c>
      <c r="D56">
        <v>324</v>
      </c>
      <c r="F56">
        <v>171.92</v>
      </c>
      <c r="G56">
        <v>-56.54</v>
      </c>
      <c r="H56">
        <v>770</v>
      </c>
      <c r="J56">
        <v>168.07</v>
      </c>
      <c r="K56">
        <v>-55.27</v>
      </c>
      <c r="L56">
        <v>752.74</v>
      </c>
      <c r="N56">
        <v>172</v>
      </c>
      <c r="O56">
        <v>-55</v>
      </c>
      <c r="P56">
        <v>770</v>
      </c>
      <c r="R56">
        <v>167.72</v>
      </c>
      <c r="S56">
        <v>-51.21</v>
      </c>
      <c r="T56">
        <v>755.15</v>
      </c>
      <c r="U56" s="21"/>
      <c r="V56" s="21">
        <v>-144.44999999999999</v>
      </c>
      <c r="W56" s="21">
        <v>609.05999999999995</v>
      </c>
      <c r="X56" s="21">
        <v>88.83</v>
      </c>
      <c r="AB56">
        <v>-144.76</v>
      </c>
      <c r="AC56">
        <v>607.13</v>
      </c>
      <c r="AD56">
        <v>93.14</v>
      </c>
      <c r="AE56">
        <f t="shared" si="31"/>
        <v>-0.34999999999999432</v>
      </c>
      <c r="AF56" s="6">
        <f t="shared" si="32"/>
        <v>0.31000000000000227</v>
      </c>
      <c r="AG56">
        <f t="shared" si="33"/>
        <v>4.0600000000000023</v>
      </c>
      <c r="AH56" s="3">
        <f t="shared" si="34"/>
        <v>1.92999999999995</v>
      </c>
      <c r="AI56">
        <f t="shared" si="35"/>
        <v>2.4099999999999682</v>
      </c>
      <c r="AJ56" s="20">
        <f t="shared" si="36"/>
        <v>-4.3100000000000023</v>
      </c>
    </row>
    <row r="57" spans="1:36" x14ac:dyDescent="0.3">
      <c r="A57" s="8"/>
      <c r="C57">
        <v>522</v>
      </c>
      <c r="D57">
        <v>388</v>
      </c>
      <c r="F57">
        <v>-133.94999999999999</v>
      </c>
      <c r="G57">
        <v>22.22</v>
      </c>
      <c r="H57">
        <v>724</v>
      </c>
      <c r="J57">
        <v>-130.71</v>
      </c>
      <c r="K57">
        <v>21.68</v>
      </c>
      <c r="L57">
        <v>706.5</v>
      </c>
      <c r="N57">
        <v>-137</v>
      </c>
      <c r="O57">
        <v>24</v>
      </c>
      <c r="P57">
        <v>724</v>
      </c>
      <c r="R57">
        <v>-130.18</v>
      </c>
      <c r="S57">
        <v>22.66</v>
      </c>
      <c r="T57">
        <v>704.28</v>
      </c>
      <c r="U57" s="21"/>
      <c r="V57" s="21">
        <v>151.46</v>
      </c>
      <c r="W57" s="21">
        <v>705.13</v>
      </c>
      <c r="X57" s="21">
        <v>87.66</v>
      </c>
      <c r="AB57">
        <v>152.03</v>
      </c>
      <c r="AC57">
        <v>703.06</v>
      </c>
      <c r="AD57">
        <v>86.4</v>
      </c>
      <c r="AE57">
        <f t="shared" si="31"/>
        <v>0.53000000000000114</v>
      </c>
      <c r="AF57" s="6">
        <f t="shared" si="32"/>
        <v>-0.56999999999999318</v>
      </c>
      <c r="AG57">
        <f t="shared" si="33"/>
        <v>0.98000000000000043</v>
      </c>
      <c r="AH57" s="3">
        <f t="shared" si="34"/>
        <v>2.07000000000005</v>
      </c>
      <c r="AI57">
        <f t="shared" si="35"/>
        <v>-2.2200000000000273</v>
      </c>
      <c r="AJ57" s="20">
        <f t="shared" si="36"/>
        <v>1.2599999999999909</v>
      </c>
    </row>
    <row r="58" spans="1:36" x14ac:dyDescent="0.3">
      <c r="A58" s="8"/>
      <c r="C58">
        <v>607</v>
      </c>
      <c r="D58">
        <v>392</v>
      </c>
      <c r="F58">
        <v>-33.909999999999997</v>
      </c>
      <c r="G58">
        <v>26.67</v>
      </c>
      <c r="H58">
        <v>717</v>
      </c>
      <c r="J58">
        <v>-33.1</v>
      </c>
      <c r="K58">
        <v>26.04</v>
      </c>
      <c r="L58">
        <v>700.02</v>
      </c>
      <c r="N58">
        <v>-36</v>
      </c>
      <c r="O58">
        <v>28</v>
      </c>
      <c r="P58">
        <v>717</v>
      </c>
      <c r="R58">
        <v>-32.96</v>
      </c>
      <c r="S58">
        <v>26</v>
      </c>
      <c r="T58">
        <v>701.97</v>
      </c>
      <c r="U58" s="21"/>
      <c r="V58" s="21">
        <v>54.18</v>
      </c>
      <c r="W58" s="21">
        <v>707.1</v>
      </c>
      <c r="X58" s="21">
        <v>87.61</v>
      </c>
      <c r="AB58">
        <v>54.29</v>
      </c>
      <c r="AC58">
        <v>708.26</v>
      </c>
      <c r="AD58">
        <v>89.17</v>
      </c>
      <c r="AE58">
        <f t="shared" si="31"/>
        <v>0.14000000000000057</v>
      </c>
      <c r="AF58" s="6">
        <f t="shared" si="32"/>
        <v>-0.10999999999999943</v>
      </c>
      <c r="AG58">
        <f t="shared" si="33"/>
        <v>-3.9999999999999147E-2</v>
      </c>
      <c r="AH58" s="3">
        <f t="shared" si="34"/>
        <v>-1.1599999999999682</v>
      </c>
      <c r="AI58">
        <f t="shared" si="35"/>
        <v>1.9500000000000455</v>
      </c>
      <c r="AJ58" s="20">
        <f t="shared" si="36"/>
        <v>-1.5600000000000023</v>
      </c>
    </row>
    <row r="59" spans="1:36" x14ac:dyDescent="0.3">
      <c r="A59" s="8"/>
      <c r="C59">
        <v>698</v>
      </c>
      <c r="D59">
        <v>392</v>
      </c>
      <c r="F59">
        <v>71.8</v>
      </c>
      <c r="G59">
        <v>26.67</v>
      </c>
      <c r="H59">
        <v>717</v>
      </c>
      <c r="J59">
        <v>70.14</v>
      </c>
      <c r="K59">
        <v>26.05</v>
      </c>
      <c r="L59">
        <v>700.41</v>
      </c>
      <c r="N59">
        <v>71</v>
      </c>
      <c r="O59">
        <v>28</v>
      </c>
      <c r="P59">
        <v>717</v>
      </c>
      <c r="R59">
        <v>68.86</v>
      </c>
      <c r="S59">
        <v>27.87</v>
      </c>
      <c r="T59">
        <v>700.44</v>
      </c>
      <c r="U59" s="21"/>
      <c r="V59" s="21">
        <v>-47.68</v>
      </c>
      <c r="W59" s="21">
        <v>707.33</v>
      </c>
      <c r="X59" s="21">
        <v>87.77</v>
      </c>
      <c r="AB59">
        <v>-48.92</v>
      </c>
      <c r="AC59">
        <v>705.83</v>
      </c>
      <c r="AD59">
        <v>88.84</v>
      </c>
      <c r="AE59">
        <f t="shared" si="31"/>
        <v>-1.2800000000000011</v>
      </c>
      <c r="AF59" s="6">
        <f t="shared" si="32"/>
        <v>1.240000000000002</v>
      </c>
      <c r="AG59">
        <f t="shared" si="33"/>
        <v>1.8200000000000003</v>
      </c>
      <c r="AH59" s="3">
        <f t="shared" si="34"/>
        <v>1.5</v>
      </c>
      <c r="AI59">
        <f t="shared" si="35"/>
        <v>3.0000000000086402E-2</v>
      </c>
      <c r="AJ59" s="20">
        <f t="shared" si="36"/>
        <v>-1.0700000000000074</v>
      </c>
    </row>
    <row r="60" spans="1:36" x14ac:dyDescent="0.3">
      <c r="A60" s="8"/>
      <c r="C60">
        <v>784</v>
      </c>
      <c r="D60">
        <v>392</v>
      </c>
      <c r="F60">
        <v>171.95</v>
      </c>
      <c r="G60">
        <v>26.71</v>
      </c>
      <c r="H60">
        <v>718</v>
      </c>
      <c r="J60">
        <v>168.05</v>
      </c>
      <c r="K60">
        <v>26.1</v>
      </c>
      <c r="L60">
        <v>701.74</v>
      </c>
      <c r="N60">
        <v>172</v>
      </c>
      <c r="O60">
        <v>28</v>
      </c>
      <c r="P60">
        <v>718</v>
      </c>
      <c r="R60">
        <v>166.15</v>
      </c>
      <c r="S60">
        <v>28.52</v>
      </c>
      <c r="T60">
        <v>698.85</v>
      </c>
      <c r="U60" s="21"/>
      <c r="V60" s="21">
        <v>-144.97999999999999</v>
      </c>
      <c r="W60" s="21">
        <v>706.68</v>
      </c>
      <c r="X60" s="21">
        <v>88.68</v>
      </c>
      <c r="AB60">
        <v>-146.80000000000001</v>
      </c>
      <c r="AC60">
        <v>703</v>
      </c>
      <c r="AD60">
        <v>87.72</v>
      </c>
      <c r="AE60">
        <f t="shared" si="31"/>
        <v>-1.9000000000000057</v>
      </c>
      <c r="AF60" s="6">
        <f t="shared" si="32"/>
        <v>1.8200000000000216</v>
      </c>
      <c r="AG60">
        <f t="shared" si="33"/>
        <v>2.4199999999999982</v>
      </c>
      <c r="AH60" s="3">
        <f t="shared" si="34"/>
        <v>3.67999999999995</v>
      </c>
      <c r="AI60">
        <f t="shared" si="35"/>
        <v>-2.8899999999999864</v>
      </c>
      <c r="AJ60" s="20">
        <f t="shared" si="36"/>
        <v>0.96000000000000796</v>
      </c>
    </row>
    <row r="61" spans="1:36" x14ac:dyDescent="0.3">
      <c r="A61" s="8"/>
      <c r="AF61" s="22"/>
      <c r="AH61" s="22"/>
      <c r="AJ61" s="22"/>
    </row>
    <row r="62" spans="1:36" x14ac:dyDescent="0.3">
      <c r="A62" s="8" t="s">
        <v>29</v>
      </c>
      <c r="B62" t="s">
        <v>0</v>
      </c>
      <c r="C62" t="s">
        <v>1</v>
      </c>
      <c r="D62" t="s">
        <v>2</v>
      </c>
      <c r="E62" t="s">
        <v>6</v>
      </c>
      <c r="F62" t="s">
        <v>1</v>
      </c>
      <c r="G62" t="s">
        <v>2</v>
      </c>
      <c r="H62" t="s">
        <v>3</v>
      </c>
      <c r="I62" t="s">
        <v>15</v>
      </c>
      <c r="J62" t="s">
        <v>1</v>
      </c>
      <c r="K62" t="s">
        <v>2</v>
      </c>
      <c r="L62" t="s">
        <v>3</v>
      </c>
      <c r="M62" t="s">
        <v>9</v>
      </c>
      <c r="N62" t="s">
        <v>1</v>
      </c>
      <c r="O62" t="s">
        <v>2</v>
      </c>
      <c r="P62" t="s">
        <v>3</v>
      </c>
      <c r="Q62" t="s">
        <v>17</v>
      </c>
      <c r="R62" t="s">
        <v>1</v>
      </c>
      <c r="S62" t="s">
        <v>2</v>
      </c>
      <c r="T62" t="s">
        <v>3</v>
      </c>
      <c r="U62" s="21" t="s">
        <v>18</v>
      </c>
      <c r="V62" s="21" t="s">
        <v>1</v>
      </c>
      <c r="W62" s="21" t="s">
        <v>2</v>
      </c>
      <c r="X62" s="21" t="s">
        <v>3</v>
      </c>
      <c r="AA62" t="s">
        <v>16</v>
      </c>
      <c r="AB62" t="s">
        <v>1</v>
      </c>
      <c r="AC62" t="s">
        <v>2</v>
      </c>
      <c r="AD62" t="s">
        <v>3</v>
      </c>
      <c r="AE62" t="s">
        <v>20</v>
      </c>
      <c r="AF62" s="6" t="s">
        <v>21</v>
      </c>
      <c r="AG62" t="s">
        <v>22</v>
      </c>
      <c r="AH62" s="3" t="s">
        <v>23</v>
      </c>
      <c r="AI62" t="s">
        <v>24</v>
      </c>
      <c r="AJ62" s="20" t="s">
        <v>25</v>
      </c>
    </row>
    <row r="63" spans="1:36" x14ac:dyDescent="0.3">
      <c r="A63" s="8"/>
      <c r="C63">
        <v>540</v>
      </c>
      <c r="D63">
        <v>360</v>
      </c>
      <c r="F63">
        <v>-130.44</v>
      </c>
      <c r="G63">
        <v>-12.43</v>
      </c>
      <c r="H63">
        <v>837</v>
      </c>
      <c r="J63">
        <v>-128.02000000000001</v>
      </c>
      <c r="K63">
        <v>-12.2</v>
      </c>
      <c r="L63">
        <v>821.47</v>
      </c>
      <c r="N63">
        <v>-134</v>
      </c>
      <c r="O63">
        <v>-11</v>
      </c>
      <c r="P63">
        <v>837</v>
      </c>
      <c r="R63">
        <v>-128.75</v>
      </c>
      <c r="S63">
        <v>-12.05</v>
      </c>
      <c r="T63">
        <v>822.94</v>
      </c>
      <c r="U63" s="21"/>
      <c r="V63" s="21">
        <v>152.12</v>
      </c>
      <c r="W63" s="21">
        <v>608.21</v>
      </c>
      <c r="X63" s="21">
        <v>10.9</v>
      </c>
      <c r="AB63">
        <v>151.37</v>
      </c>
      <c r="AC63">
        <v>608.91</v>
      </c>
      <c r="AD63">
        <v>12.185</v>
      </c>
      <c r="AE63">
        <f t="shared" ref="AE63:AE70" si="37">R63-J63</f>
        <v>-0.72999999999998977</v>
      </c>
      <c r="AF63" s="6">
        <f t="shared" ref="AF63:AF70" si="38">V63-AB63</f>
        <v>0.75</v>
      </c>
      <c r="AG63">
        <f t="shared" ref="AG63:AG70" si="39">S63-K63</f>
        <v>0.14999999999999858</v>
      </c>
      <c r="AH63" s="3">
        <f t="shared" ref="AH63:AH70" si="40">W63-AC63</f>
        <v>-0.69999999999993179</v>
      </c>
      <c r="AI63">
        <f t="shared" ref="AI63:AI70" si="41">T63-L63</f>
        <v>1.4700000000000273</v>
      </c>
      <c r="AJ63" s="20">
        <f t="shared" ref="AJ63:AJ70" si="42">X63-AD63</f>
        <v>-1.2850000000000001</v>
      </c>
    </row>
    <row r="64" spans="1:36" x14ac:dyDescent="0.3">
      <c r="A64" s="8"/>
      <c r="C64">
        <v>614</v>
      </c>
      <c r="D64">
        <v>361</v>
      </c>
      <c r="F64">
        <v>-30.05</v>
      </c>
      <c r="G64">
        <v>-11.06</v>
      </c>
      <c r="H64">
        <v>836</v>
      </c>
      <c r="J64">
        <v>-29.44</v>
      </c>
      <c r="K64">
        <v>-10.83</v>
      </c>
      <c r="L64">
        <v>818.91</v>
      </c>
      <c r="N64">
        <v>-32</v>
      </c>
      <c r="O64">
        <v>-9</v>
      </c>
      <c r="P64">
        <v>836</v>
      </c>
      <c r="R64">
        <v>-31.2</v>
      </c>
      <c r="S64">
        <v>-10.29</v>
      </c>
      <c r="T64">
        <v>821.43</v>
      </c>
      <c r="U64" s="21"/>
      <c r="V64" s="21">
        <v>54.54</v>
      </c>
      <c r="W64" s="21">
        <v>608.41999999999996</v>
      </c>
      <c r="X64" s="21">
        <v>11.11</v>
      </c>
      <c r="AB64">
        <v>52.75</v>
      </c>
      <c r="AC64">
        <v>609.39</v>
      </c>
      <c r="AD64">
        <v>13.47</v>
      </c>
      <c r="AE64">
        <f t="shared" si="37"/>
        <v>-1.759999999999998</v>
      </c>
      <c r="AF64" s="6">
        <f t="shared" si="38"/>
        <v>1.7899999999999991</v>
      </c>
      <c r="AG64">
        <f t="shared" si="39"/>
        <v>0.54000000000000092</v>
      </c>
      <c r="AH64" s="3">
        <f t="shared" si="40"/>
        <v>-0.97000000000002728</v>
      </c>
      <c r="AI64">
        <f t="shared" si="41"/>
        <v>2.5199999999999818</v>
      </c>
      <c r="AJ64" s="20">
        <f t="shared" si="42"/>
        <v>-2.3600000000000012</v>
      </c>
    </row>
    <row r="65" spans="1:36" x14ac:dyDescent="0.3">
      <c r="A65" s="8"/>
      <c r="C65">
        <v>690</v>
      </c>
      <c r="D65">
        <v>361</v>
      </c>
      <c r="F65">
        <v>72.97</v>
      </c>
      <c r="G65">
        <v>-11.07</v>
      </c>
      <c r="H65">
        <v>837</v>
      </c>
      <c r="J65">
        <v>71.37</v>
      </c>
      <c r="K65">
        <v>-10.83</v>
      </c>
      <c r="L65">
        <v>818.71</v>
      </c>
      <c r="N65">
        <v>72</v>
      </c>
      <c r="O65">
        <v>-9</v>
      </c>
      <c r="P65">
        <v>837</v>
      </c>
      <c r="R65">
        <v>71.38</v>
      </c>
      <c r="S65">
        <v>-9.0399999999999991</v>
      </c>
      <c r="T65">
        <v>819.9</v>
      </c>
      <c r="U65" s="21"/>
      <c r="V65" s="21">
        <v>-48.07</v>
      </c>
      <c r="W65" s="21">
        <v>608.12</v>
      </c>
      <c r="X65" s="21">
        <v>11.63</v>
      </c>
      <c r="AB65">
        <v>-48.04</v>
      </c>
      <c r="AC65">
        <v>607.34</v>
      </c>
      <c r="AD65">
        <v>13.63</v>
      </c>
      <c r="AE65">
        <f t="shared" si="37"/>
        <v>9.9999999999909051E-3</v>
      </c>
      <c r="AF65" s="6">
        <f t="shared" si="38"/>
        <v>-3.0000000000001137E-2</v>
      </c>
      <c r="AG65">
        <f t="shared" si="39"/>
        <v>1.7900000000000009</v>
      </c>
      <c r="AH65" s="3">
        <f t="shared" si="40"/>
        <v>0.77999999999997272</v>
      </c>
      <c r="AI65">
        <f t="shared" si="41"/>
        <v>1.1899999999999409</v>
      </c>
      <c r="AJ65" s="20">
        <f t="shared" si="42"/>
        <v>-2</v>
      </c>
    </row>
    <row r="66" spans="1:36" x14ac:dyDescent="0.3">
      <c r="A66" s="8"/>
      <c r="C66">
        <v>763</v>
      </c>
      <c r="D66">
        <v>361</v>
      </c>
      <c r="F66">
        <v>170.53</v>
      </c>
      <c r="G66">
        <v>-10.98</v>
      </c>
      <c r="H66">
        <v>830</v>
      </c>
      <c r="J66">
        <v>166.94</v>
      </c>
      <c r="K66">
        <v>-10.75</v>
      </c>
      <c r="L66">
        <v>812.53</v>
      </c>
      <c r="N66">
        <v>170</v>
      </c>
      <c r="O66">
        <v>-9</v>
      </c>
      <c r="P66">
        <v>830</v>
      </c>
      <c r="R66">
        <v>168.73</v>
      </c>
      <c r="S66">
        <v>-7.8</v>
      </c>
      <c r="T66">
        <v>818.47</v>
      </c>
      <c r="U66" s="21"/>
      <c r="V66" s="21">
        <v>-145.43</v>
      </c>
      <c r="W66" s="21">
        <v>607.86</v>
      </c>
      <c r="X66" s="21">
        <v>12.07</v>
      </c>
      <c r="AB66">
        <v>-143.66</v>
      </c>
      <c r="AC66">
        <v>608.92999999999995</v>
      </c>
      <c r="AD66">
        <v>18.61</v>
      </c>
      <c r="AE66">
        <f t="shared" si="37"/>
        <v>1.789999999999992</v>
      </c>
      <c r="AF66" s="6">
        <f t="shared" si="38"/>
        <v>-1.7700000000000102</v>
      </c>
      <c r="AG66">
        <f t="shared" si="39"/>
        <v>2.95</v>
      </c>
      <c r="AH66" s="3">
        <f t="shared" si="40"/>
        <v>-1.0699999999999363</v>
      </c>
      <c r="AI66">
        <f t="shared" si="41"/>
        <v>5.9400000000000546</v>
      </c>
      <c r="AJ66" s="20">
        <f t="shared" si="42"/>
        <v>-6.5399999999999991</v>
      </c>
    </row>
    <row r="67" spans="1:36" x14ac:dyDescent="0.3">
      <c r="A67" s="8"/>
      <c r="C67">
        <v>532</v>
      </c>
      <c r="D67">
        <v>424</v>
      </c>
      <c r="F67">
        <v>-132.01</v>
      </c>
      <c r="G67">
        <v>69.8</v>
      </c>
      <c r="H67">
        <v>782</v>
      </c>
      <c r="J67">
        <v>-129.13999999999999</v>
      </c>
      <c r="K67">
        <v>68.290000000000006</v>
      </c>
      <c r="L67">
        <v>765.04</v>
      </c>
      <c r="N67">
        <v>-135</v>
      </c>
      <c r="O67">
        <v>72</v>
      </c>
      <c r="P67">
        <v>782</v>
      </c>
      <c r="R67">
        <v>-131.12</v>
      </c>
      <c r="S67">
        <v>67.680000000000007</v>
      </c>
      <c r="T67">
        <v>766.73</v>
      </c>
      <c r="U67" s="21"/>
      <c r="V67" s="21">
        <v>152.38999999999999</v>
      </c>
      <c r="W67" s="21">
        <v>705.79</v>
      </c>
      <c r="X67" s="21">
        <v>10.68</v>
      </c>
      <c r="AB67">
        <v>150.38</v>
      </c>
      <c r="AC67">
        <v>707.22</v>
      </c>
      <c r="AD67">
        <v>11.7</v>
      </c>
      <c r="AE67">
        <f t="shared" si="37"/>
        <v>-1.9800000000000182</v>
      </c>
      <c r="AF67" s="6">
        <f t="shared" si="38"/>
        <v>2.0099999999999909</v>
      </c>
      <c r="AG67">
        <f t="shared" si="39"/>
        <v>-0.60999999999999943</v>
      </c>
      <c r="AH67" s="3">
        <f t="shared" si="40"/>
        <v>-1.4300000000000637</v>
      </c>
      <c r="AI67">
        <f t="shared" si="41"/>
        <v>1.6900000000000546</v>
      </c>
      <c r="AJ67" s="20">
        <f t="shared" si="42"/>
        <v>-1.0199999999999996</v>
      </c>
    </row>
    <row r="68" spans="1:36" x14ac:dyDescent="0.3">
      <c r="A68" s="8"/>
      <c r="C68">
        <v>611</v>
      </c>
      <c r="D68">
        <v>425</v>
      </c>
      <c r="F68">
        <v>-31.71</v>
      </c>
      <c r="G68">
        <v>70.62</v>
      </c>
      <c r="H68">
        <v>777</v>
      </c>
      <c r="J68">
        <v>-31.01</v>
      </c>
      <c r="K68">
        <v>69.069999999999993</v>
      </c>
      <c r="L68">
        <v>759.93</v>
      </c>
      <c r="N68">
        <v>-34</v>
      </c>
      <c r="O68">
        <v>73</v>
      </c>
      <c r="P68">
        <v>777</v>
      </c>
      <c r="R68">
        <v>-32.82</v>
      </c>
      <c r="S68">
        <v>69.260000000000005</v>
      </c>
      <c r="T68">
        <v>765.44</v>
      </c>
      <c r="U68" s="21"/>
      <c r="V68" s="21">
        <v>54.07</v>
      </c>
      <c r="W68" s="21">
        <v>705.72</v>
      </c>
      <c r="X68" s="21">
        <v>10.81</v>
      </c>
      <c r="AB68">
        <v>52.19</v>
      </c>
      <c r="AC68">
        <v>708.7</v>
      </c>
      <c r="AD68">
        <v>15.41</v>
      </c>
      <c r="AE68">
        <f t="shared" si="37"/>
        <v>-1.8099999999999987</v>
      </c>
      <c r="AF68" s="6">
        <f t="shared" si="38"/>
        <v>1.8800000000000026</v>
      </c>
      <c r="AG68">
        <f t="shared" si="39"/>
        <v>0.19000000000001194</v>
      </c>
      <c r="AH68" s="3">
        <f t="shared" si="40"/>
        <v>-2.9800000000000182</v>
      </c>
      <c r="AI68">
        <f t="shared" si="41"/>
        <v>5.5100000000001046</v>
      </c>
      <c r="AJ68" s="20">
        <f t="shared" si="42"/>
        <v>-4.5999999999999996</v>
      </c>
    </row>
    <row r="69" spans="1:36" x14ac:dyDescent="0.3">
      <c r="A69" s="8"/>
      <c r="C69">
        <v>693</v>
      </c>
      <c r="D69">
        <v>425</v>
      </c>
      <c r="F69">
        <v>71.42</v>
      </c>
      <c r="G69">
        <v>70.53</v>
      </c>
      <c r="H69">
        <v>776</v>
      </c>
      <c r="J69">
        <v>69.91</v>
      </c>
      <c r="K69">
        <v>69.03</v>
      </c>
      <c r="L69">
        <v>759.53</v>
      </c>
      <c r="N69">
        <v>71</v>
      </c>
      <c r="O69">
        <v>73</v>
      </c>
      <c r="P69">
        <v>776</v>
      </c>
      <c r="R69">
        <v>69.56</v>
      </c>
      <c r="S69">
        <v>71.47</v>
      </c>
      <c r="T69">
        <v>763.6</v>
      </c>
      <c r="U69" s="21"/>
      <c r="V69" s="21">
        <v>-48.36</v>
      </c>
      <c r="W69" s="21">
        <v>706.38</v>
      </c>
      <c r="X69" s="21">
        <v>11.03</v>
      </c>
      <c r="AB69">
        <v>-48.71</v>
      </c>
      <c r="AC69">
        <v>706.74</v>
      </c>
      <c r="AD69">
        <v>15.75</v>
      </c>
      <c r="AE69">
        <f t="shared" si="37"/>
        <v>-0.34999999999999432</v>
      </c>
      <c r="AF69" s="6">
        <f t="shared" si="38"/>
        <v>0.35000000000000142</v>
      </c>
      <c r="AG69">
        <f t="shared" si="39"/>
        <v>2.4399999999999977</v>
      </c>
      <c r="AH69" s="3">
        <f t="shared" si="40"/>
        <v>-0.36000000000001364</v>
      </c>
      <c r="AI69">
        <f t="shared" si="41"/>
        <v>4.07000000000005</v>
      </c>
      <c r="AJ69" s="20">
        <f t="shared" si="42"/>
        <v>-4.7200000000000006</v>
      </c>
    </row>
    <row r="70" spans="1:36" x14ac:dyDescent="0.3">
      <c r="A70" s="8"/>
      <c r="C70">
        <v>773</v>
      </c>
      <c r="D70">
        <v>426</v>
      </c>
      <c r="F70">
        <v>172.23</v>
      </c>
      <c r="G70">
        <v>70.62</v>
      </c>
      <c r="H70">
        <v>777</v>
      </c>
      <c r="J70">
        <v>168.59</v>
      </c>
      <c r="K70">
        <v>69.13</v>
      </c>
      <c r="L70">
        <v>760.57</v>
      </c>
      <c r="N70">
        <v>172</v>
      </c>
      <c r="O70">
        <v>73</v>
      </c>
      <c r="P70">
        <v>777</v>
      </c>
      <c r="R70">
        <v>166.73</v>
      </c>
      <c r="S70">
        <v>72.75</v>
      </c>
      <c r="T70">
        <v>762.21</v>
      </c>
      <c r="U70" s="21"/>
      <c r="V70" s="21">
        <v>-145.54</v>
      </c>
      <c r="W70" s="21">
        <v>706.14</v>
      </c>
      <c r="X70" s="21">
        <v>11.42</v>
      </c>
      <c r="AB70">
        <v>-147.35</v>
      </c>
      <c r="AC70">
        <v>704.09</v>
      </c>
      <c r="AD70">
        <v>14.85</v>
      </c>
      <c r="AE70">
        <f t="shared" si="37"/>
        <v>-1.8600000000000136</v>
      </c>
      <c r="AF70" s="6">
        <f t="shared" si="38"/>
        <v>1.8100000000000023</v>
      </c>
      <c r="AG70">
        <f t="shared" si="39"/>
        <v>3.6200000000000045</v>
      </c>
      <c r="AH70" s="3">
        <f t="shared" si="40"/>
        <v>2.0499999999999545</v>
      </c>
      <c r="AI70">
        <f t="shared" si="41"/>
        <v>1.6399999999999864</v>
      </c>
      <c r="AJ70" s="20">
        <f t="shared" si="42"/>
        <v>-3.4299999999999997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Q3" sqref="Q3"/>
    </sheetView>
  </sheetViews>
  <sheetFormatPr baseColWidth="10" defaultColWidth="8.88671875" defaultRowHeight="14.4" x14ac:dyDescent="0.3"/>
  <cols>
    <col min="1" max="1" width="12.109375" customWidth="1"/>
    <col min="5" max="5" width="12.109375" customWidth="1"/>
    <col min="6" max="6" width="11.109375" customWidth="1"/>
    <col min="9" max="9" width="19.88671875" customWidth="1"/>
    <col min="17" max="17" width="18.109375" customWidth="1"/>
    <col min="21" max="21" width="14.5546875" customWidth="1"/>
    <col min="25" max="25" width="22.44140625" customWidth="1"/>
    <col min="29" max="29" width="10.88671875" customWidth="1"/>
    <col min="30" max="30" width="11.5546875" customWidth="1"/>
    <col min="31" max="31" width="12.109375" customWidth="1"/>
    <col min="32" max="33" width="10.88671875" customWidth="1"/>
    <col min="34" max="34" width="10.6640625" customWidth="1"/>
  </cols>
  <sheetData>
    <row r="1" spans="1:35" x14ac:dyDescent="0.3">
      <c r="A1" s="19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t="s">
        <v>18</v>
      </c>
      <c r="V2" t="s">
        <v>1</v>
      </c>
      <c r="W2" t="s">
        <v>2</v>
      </c>
      <c r="X2" t="s">
        <v>3</v>
      </c>
      <c r="Y2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536</v>
      </c>
      <c r="D3">
        <v>342</v>
      </c>
      <c r="F3">
        <v>-132.78</v>
      </c>
      <c r="G3">
        <v>-36.1</v>
      </c>
      <c r="H3">
        <v>818</v>
      </c>
      <c r="J3">
        <v>-127.18</v>
      </c>
      <c r="K3">
        <v>-34.58</v>
      </c>
      <c r="L3">
        <v>783.48</v>
      </c>
      <c r="N3">
        <v>-136</v>
      </c>
      <c r="O3">
        <v>-35</v>
      </c>
      <c r="P3">
        <v>818</v>
      </c>
      <c r="R3">
        <v>-129.26</v>
      </c>
      <c r="S3">
        <v>-34.380000000000003</v>
      </c>
      <c r="T3">
        <v>791.03</v>
      </c>
      <c r="V3">
        <v>152.62</v>
      </c>
      <c r="W3">
        <v>608.44000000000005</v>
      </c>
      <c r="X3">
        <v>49.84</v>
      </c>
      <c r="Y3">
        <f>T3-H3</f>
        <v>-26.970000000000027</v>
      </c>
      <c r="AA3">
        <v>150.44</v>
      </c>
      <c r="AB3">
        <v>612.59</v>
      </c>
      <c r="AC3">
        <v>56.12</v>
      </c>
      <c r="AD3">
        <f t="shared" ref="AD3:AD10" si="0">R3-J3</f>
        <v>-2.0799999999999841</v>
      </c>
      <c r="AE3" s="6">
        <f t="shared" ref="AE3:AE10" si="1">V3-AA3</f>
        <v>2.1800000000000068</v>
      </c>
      <c r="AF3">
        <f t="shared" ref="AF3:AF10" si="2">S3-K3</f>
        <v>0.19999999999999574</v>
      </c>
      <c r="AG3" s="3">
        <f t="shared" ref="AG3:AG10" si="3">W3-AB3</f>
        <v>-4.1499999999999773</v>
      </c>
      <c r="AH3">
        <f t="shared" ref="AH3:AH10" si="4">T3-L3</f>
        <v>7.5499999999999545</v>
      </c>
      <c r="AI3" s="20">
        <f t="shared" ref="AI3:AI10" si="5">X3-AC3</f>
        <v>-6.279999999999994</v>
      </c>
    </row>
    <row r="4" spans="1:35" x14ac:dyDescent="0.3">
      <c r="C4">
        <v>612</v>
      </c>
      <c r="D4">
        <v>344</v>
      </c>
      <c r="F4">
        <v>-32.06</v>
      </c>
      <c r="G4">
        <v>-33.44</v>
      </c>
      <c r="H4">
        <v>818</v>
      </c>
      <c r="J4">
        <v>-30.58</v>
      </c>
      <c r="K4">
        <v>-31.9</v>
      </c>
      <c r="L4">
        <v>780.26</v>
      </c>
      <c r="N4">
        <v>-34</v>
      </c>
      <c r="O4">
        <v>-32</v>
      </c>
      <c r="P4">
        <v>818</v>
      </c>
      <c r="R4">
        <v>-31.57</v>
      </c>
      <c r="S4">
        <v>-32.21</v>
      </c>
      <c r="T4">
        <v>789.1</v>
      </c>
      <c r="V4">
        <v>54.89</v>
      </c>
      <c r="W4">
        <v>609.23</v>
      </c>
      <c r="X4">
        <v>50.16</v>
      </c>
      <c r="Y4">
        <f t="shared" ref="Y4:Y10" si="6">T4-H4</f>
        <v>-28.899999999999977</v>
      </c>
      <c r="AA4">
        <v>53.78</v>
      </c>
      <c r="AB4">
        <v>614.55999999999995</v>
      </c>
      <c r="AC4">
        <v>57.19</v>
      </c>
      <c r="AD4">
        <f t="shared" si="0"/>
        <v>-0.99000000000000199</v>
      </c>
      <c r="AE4" s="6">
        <f t="shared" si="1"/>
        <v>1.1099999999999994</v>
      </c>
      <c r="AF4">
        <f t="shared" si="2"/>
        <v>-0.31000000000000227</v>
      </c>
      <c r="AG4" s="3">
        <f t="shared" si="3"/>
        <v>-5.3299999999999272</v>
      </c>
      <c r="AH4">
        <f t="shared" si="4"/>
        <v>8.8400000000000318</v>
      </c>
      <c r="AI4" s="20">
        <f t="shared" si="5"/>
        <v>-7.0300000000000011</v>
      </c>
    </row>
    <row r="5" spans="1:35" x14ac:dyDescent="0.3">
      <c r="C5">
        <v>692</v>
      </c>
      <c r="D5">
        <v>343</v>
      </c>
      <c r="F5">
        <v>73.87</v>
      </c>
      <c r="G5">
        <v>-34.729999999999997</v>
      </c>
      <c r="H5">
        <v>817</v>
      </c>
      <c r="J5">
        <v>70.48</v>
      </c>
      <c r="K5">
        <v>-33.130000000000003</v>
      </c>
      <c r="L5">
        <v>779.45</v>
      </c>
      <c r="N5">
        <v>73</v>
      </c>
      <c r="O5">
        <v>-33</v>
      </c>
      <c r="P5">
        <v>817</v>
      </c>
      <c r="R5">
        <v>71.23</v>
      </c>
      <c r="S5">
        <v>-30.88</v>
      </c>
      <c r="T5">
        <v>788.57</v>
      </c>
      <c r="V5">
        <v>-47.92</v>
      </c>
      <c r="W5">
        <v>608.41</v>
      </c>
      <c r="X5">
        <v>49.82</v>
      </c>
      <c r="Y5">
        <f t="shared" si="6"/>
        <v>-28.42999999999995</v>
      </c>
      <c r="AA5">
        <v>-47.24</v>
      </c>
      <c r="AB5">
        <v>611.85</v>
      </c>
      <c r="AC5">
        <v>58.55</v>
      </c>
      <c r="AD5">
        <f t="shared" si="0"/>
        <v>0.75</v>
      </c>
      <c r="AE5" s="6">
        <f t="shared" si="1"/>
        <v>-0.67999999999999972</v>
      </c>
      <c r="AF5">
        <f t="shared" si="2"/>
        <v>2.2500000000000036</v>
      </c>
      <c r="AG5" s="3">
        <f t="shared" si="3"/>
        <v>-3.4400000000000546</v>
      </c>
      <c r="AH5">
        <f t="shared" si="4"/>
        <v>9.1200000000000045</v>
      </c>
      <c r="AI5" s="20">
        <f t="shared" si="5"/>
        <v>-8.7299999999999969</v>
      </c>
    </row>
    <row r="6" spans="1:35" x14ac:dyDescent="0.3">
      <c r="C6">
        <v>768</v>
      </c>
      <c r="D6">
        <v>343</v>
      </c>
      <c r="F6">
        <v>174.26</v>
      </c>
      <c r="G6">
        <v>-34.69</v>
      </c>
      <c r="H6">
        <v>816</v>
      </c>
      <c r="J6">
        <v>166.89</v>
      </c>
      <c r="K6">
        <v>-33.22</v>
      </c>
      <c r="L6">
        <v>781.48</v>
      </c>
      <c r="N6">
        <v>174</v>
      </c>
      <c r="O6">
        <v>-33</v>
      </c>
      <c r="P6">
        <v>816</v>
      </c>
      <c r="R6">
        <v>167.95</v>
      </c>
      <c r="S6">
        <v>-28.97</v>
      </c>
      <c r="T6">
        <v>786.51</v>
      </c>
      <c r="V6">
        <v>-144.68</v>
      </c>
      <c r="W6">
        <v>609.08000000000004</v>
      </c>
      <c r="X6">
        <v>50.39</v>
      </c>
      <c r="Y6">
        <f t="shared" si="6"/>
        <v>-29.490000000000009</v>
      </c>
      <c r="AA6">
        <v>-143.61000000000001</v>
      </c>
      <c r="AB6">
        <v>608.53</v>
      </c>
      <c r="AC6">
        <v>56.94</v>
      </c>
      <c r="AD6">
        <f t="shared" si="0"/>
        <v>1.0600000000000023</v>
      </c>
      <c r="AE6" s="6">
        <f t="shared" si="1"/>
        <v>-1.0699999999999932</v>
      </c>
      <c r="AF6">
        <f t="shared" si="2"/>
        <v>4.25</v>
      </c>
      <c r="AG6" s="3">
        <f t="shared" si="3"/>
        <v>0.55000000000006821</v>
      </c>
      <c r="AH6">
        <f t="shared" si="4"/>
        <v>5.0299999999999727</v>
      </c>
      <c r="AI6" s="20">
        <f t="shared" si="5"/>
        <v>-6.5499999999999972</v>
      </c>
    </row>
    <row r="7" spans="1:35" x14ac:dyDescent="0.3">
      <c r="C7">
        <v>527</v>
      </c>
      <c r="D7">
        <v>408</v>
      </c>
      <c r="F7">
        <v>-135.33000000000001</v>
      </c>
      <c r="G7">
        <v>48.37</v>
      </c>
      <c r="H7">
        <v>765</v>
      </c>
      <c r="J7">
        <v>-129.09</v>
      </c>
      <c r="K7">
        <v>46.14</v>
      </c>
      <c r="L7">
        <v>729.7</v>
      </c>
      <c r="N7">
        <v>-138</v>
      </c>
      <c r="O7">
        <v>50</v>
      </c>
      <c r="P7">
        <v>765</v>
      </c>
      <c r="R7">
        <v>-131.29</v>
      </c>
      <c r="S7">
        <v>45.54</v>
      </c>
      <c r="T7">
        <v>735.02</v>
      </c>
      <c r="V7">
        <v>152.55000000000001</v>
      </c>
      <c r="W7">
        <v>706.06</v>
      </c>
      <c r="X7">
        <v>49.35</v>
      </c>
      <c r="Y7">
        <f t="shared" si="6"/>
        <v>-29.980000000000018</v>
      </c>
      <c r="AA7">
        <v>150.27000000000001</v>
      </c>
      <c r="AB7">
        <v>709.57</v>
      </c>
      <c r="AC7">
        <v>53.34</v>
      </c>
      <c r="AD7">
        <f t="shared" si="0"/>
        <v>-2.1999999999999886</v>
      </c>
      <c r="AE7" s="6">
        <f t="shared" si="1"/>
        <v>2.2800000000000011</v>
      </c>
      <c r="AF7">
        <f t="shared" si="2"/>
        <v>-0.60000000000000142</v>
      </c>
      <c r="AG7" s="3">
        <f t="shared" si="3"/>
        <v>-3.5100000000001046</v>
      </c>
      <c r="AH7">
        <f t="shared" si="4"/>
        <v>5.3199999999999363</v>
      </c>
      <c r="AI7" s="20">
        <f t="shared" si="5"/>
        <v>-3.990000000000002</v>
      </c>
    </row>
    <row r="8" spans="1:35" x14ac:dyDescent="0.3">
      <c r="C8">
        <v>610</v>
      </c>
      <c r="D8">
        <v>409</v>
      </c>
      <c r="F8">
        <v>-32.409999999999997</v>
      </c>
      <c r="G8">
        <v>49.55</v>
      </c>
      <c r="H8">
        <v>764</v>
      </c>
      <c r="J8">
        <v>-30.82</v>
      </c>
      <c r="K8">
        <v>47.11</v>
      </c>
      <c r="L8">
        <v>726.41</v>
      </c>
      <c r="N8">
        <v>-35</v>
      </c>
      <c r="O8">
        <v>52</v>
      </c>
      <c r="P8">
        <v>764</v>
      </c>
      <c r="R8">
        <v>-33.15</v>
      </c>
      <c r="S8">
        <v>47.65</v>
      </c>
      <c r="T8">
        <v>733.79</v>
      </c>
      <c r="V8">
        <v>54.38</v>
      </c>
      <c r="W8">
        <v>706.38</v>
      </c>
      <c r="X8">
        <v>49.13</v>
      </c>
      <c r="Y8">
        <f t="shared" si="6"/>
        <v>-30.210000000000036</v>
      </c>
      <c r="AA8">
        <v>51.97</v>
      </c>
      <c r="AB8">
        <v>710.15</v>
      </c>
      <c r="AC8">
        <v>55.45</v>
      </c>
      <c r="AD8">
        <f t="shared" si="0"/>
        <v>-2.3299999999999983</v>
      </c>
      <c r="AE8" s="6">
        <f t="shared" si="1"/>
        <v>2.4100000000000037</v>
      </c>
      <c r="AF8">
        <f t="shared" si="2"/>
        <v>0.53999999999999915</v>
      </c>
      <c r="AG8" s="3">
        <f t="shared" si="3"/>
        <v>-3.7699999999999818</v>
      </c>
      <c r="AH8">
        <f t="shared" si="4"/>
        <v>7.3799999999999955</v>
      </c>
      <c r="AI8" s="20">
        <f t="shared" si="5"/>
        <v>-6.32</v>
      </c>
    </row>
    <row r="9" spans="1:35" x14ac:dyDescent="0.3">
      <c r="C9">
        <v>695</v>
      </c>
      <c r="D9">
        <v>410</v>
      </c>
      <c r="F9">
        <v>72.599999999999994</v>
      </c>
      <c r="G9">
        <v>50.66</v>
      </c>
      <c r="H9">
        <v>762</v>
      </c>
      <c r="J9">
        <v>69.02</v>
      </c>
      <c r="K9">
        <v>48.16</v>
      </c>
      <c r="L9">
        <v>724.44</v>
      </c>
      <c r="N9">
        <v>72</v>
      </c>
      <c r="O9">
        <v>53</v>
      </c>
      <c r="P9">
        <v>762</v>
      </c>
      <c r="R9">
        <v>69.83</v>
      </c>
      <c r="S9">
        <v>48.46</v>
      </c>
      <c r="T9">
        <v>732.04</v>
      </c>
      <c r="V9">
        <v>-48.62</v>
      </c>
      <c r="W9">
        <v>705.84</v>
      </c>
      <c r="X9">
        <v>50.08</v>
      </c>
      <c r="Y9">
        <f t="shared" si="6"/>
        <v>-29.960000000000036</v>
      </c>
      <c r="AA9">
        <v>-47.9</v>
      </c>
      <c r="AB9">
        <v>710.01</v>
      </c>
      <c r="AC9">
        <v>56.45</v>
      </c>
      <c r="AD9">
        <f t="shared" si="0"/>
        <v>0.81000000000000227</v>
      </c>
      <c r="AE9" s="6">
        <f t="shared" si="1"/>
        <v>-0.71999999999999886</v>
      </c>
      <c r="AF9">
        <f t="shared" si="2"/>
        <v>0.30000000000000426</v>
      </c>
      <c r="AG9" s="3">
        <f t="shared" si="3"/>
        <v>-4.1699999999999591</v>
      </c>
      <c r="AH9">
        <f t="shared" si="4"/>
        <v>7.5999999999999091</v>
      </c>
      <c r="AI9" s="20">
        <f t="shared" si="5"/>
        <v>-6.3700000000000045</v>
      </c>
    </row>
    <row r="10" spans="1:35" x14ac:dyDescent="0.3">
      <c r="C10">
        <v>778</v>
      </c>
      <c r="D10">
        <v>410</v>
      </c>
      <c r="F10">
        <v>174.85</v>
      </c>
      <c r="G10">
        <v>50.6</v>
      </c>
      <c r="H10">
        <v>761</v>
      </c>
      <c r="J10">
        <v>166.72</v>
      </c>
      <c r="K10">
        <v>48.24</v>
      </c>
      <c r="L10">
        <v>725.61</v>
      </c>
      <c r="N10">
        <v>174</v>
      </c>
      <c r="O10">
        <v>52</v>
      </c>
      <c r="P10">
        <v>761</v>
      </c>
      <c r="R10">
        <v>165.82</v>
      </c>
      <c r="S10">
        <v>50.71</v>
      </c>
      <c r="T10">
        <v>730.54</v>
      </c>
      <c r="V10">
        <v>-144.63999999999999</v>
      </c>
      <c r="W10">
        <v>706.48</v>
      </c>
      <c r="X10">
        <v>50</v>
      </c>
      <c r="Y10">
        <f t="shared" si="6"/>
        <v>-30.460000000000036</v>
      </c>
      <c r="AA10">
        <v>-145.55000000000001</v>
      </c>
      <c r="AB10">
        <v>707.29</v>
      </c>
      <c r="AC10">
        <v>55.45</v>
      </c>
      <c r="AD10">
        <f t="shared" si="0"/>
        <v>-0.90000000000000568</v>
      </c>
      <c r="AE10" s="6">
        <f t="shared" si="1"/>
        <v>0.91000000000002501</v>
      </c>
      <c r="AF10">
        <f t="shared" si="2"/>
        <v>2.4699999999999989</v>
      </c>
      <c r="AG10" s="3">
        <f t="shared" si="3"/>
        <v>-0.80999999999994543</v>
      </c>
      <c r="AH10">
        <f t="shared" si="4"/>
        <v>4.92999999999995</v>
      </c>
      <c r="AI10" s="20">
        <f t="shared" si="5"/>
        <v>-5.4500000000000028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Y3" sqref="Y3:Y10"/>
    </sheetView>
  </sheetViews>
  <sheetFormatPr baseColWidth="10" defaultColWidth="8.88671875" defaultRowHeight="14.4" x14ac:dyDescent="0.3"/>
  <cols>
    <col min="1" max="1" width="13.33203125" customWidth="1"/>
    <col min="5" max="5" width="15.6640625" customWidth="1"/>
    <col min="9" max="9" width="19.6640625" customWidth="1"/>
    <col min="17" max="17" width="16.109375" customWidth="1"/>
    <col min="21" max="21" width="14" customWidth="1"/>
    <col min="25" max="25" width="23.44140625" customWidth="1"/>
    <col min="29" max="30" width="12.109375" customWidth="1"/>
    <col min="31" max="32" width="11.44140625" customWidth="1"/>
    <col min="33" max="33" width="11.6640625" customWidth="1"/>
    <col min="34" max="34" width="12" customWidth="1"/>
  </cols>
  <sheetData>
    <row r="1" spans="1:35" x14ac:dyDescent="0.3">
      <c r="A1" s="17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t="s">
        <v>18</v>
      </c>
      <c r="V2" t="s">
        <v>1</v>
      </c>
      <c r="W2" t="s">
        <v>2</v>
      </c>
      <c r="X2" t="s">
        <v>3</v>
      </c>
      <c r="Y2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536</v>
      </c>
      <c r="D3">
        <v>342</v>
      </c>
      <c r="F3">
        <v>-132.30000000000001</v>
      </c>
      <c r="G3">
        <v>-35.97</v>
      </c>
      <c r="H3">
        <v>815</v>
      </c>
      <c r="J3">
        <v>-127.19</v>
      </c>
      <c r="K3">
        <v>-34.58</v>
      </c>
      <c r="L3">
        <v>783.52</v>
      </c>
      <c r="N3">
        <v>-135</v>
      </c>
      <c r="O3">
        <v>-34</v>
      </c>
      <c r="P3">
        <v>815</v>
      </c>
      <c r="R3">
        <v>-129.27000000000001</v>
      </c>
      <c r="S3">
        <v>-34.07</v>
      </c>
      <c r="T3">
        <v>791.03</v>
      </c>
      <c r="V3">
        <v>152.62</v>
      </c>
      <c r="W3">
        <v>608.69000000000005</v>
      </c>
      <c r="X3">
        <v>49.67</v>
      </c>
      <c r="Y3">
        <f>T3-H3</f>
        <v>-23.970000000000027</v>
      </c>
      <c r="AA3">
        <v>150.44999999999999</v>
      </c>
      <c r="AB3">
        <v>612.55999999999995</v>
      </c>
      <c r="AC3">
        <v>56.08</v>
      </c>
      <c r="AD3">
        <f t="shared" ref="AD3:AD10" si="0">R3-J3</f>
        <v>-2.0800000000000125</v>
      </c>
      <c r="AE3" s="6">
        <f t="shared" ref="AE3:AE10" si="1">V3-AA3</f>
        <v>2.1700000000000159</v>
      </c>
      <c r="AF3">
        <f t="shared" ref="AF3:AF10" si="2">S3-K3</f>
        <v>0.50999999999999801</v>
      </c>
      <c r="AG3" s="3">
        <f t="shared" ref="AG3:AG10" si="3">W3-AB3</f>
        <v>-3.8699999999998909</v>
      </c>
      <c r="AH3">
        <f t="shared" ref="AH3:AH10" si="4">T3-L3</f>
        <v>7.5099999999999909</v>
      </c>
      <c r="AI3" s="20">
        <f t="shared" ref="AI3:AI10" si="5">X3-AC3</f>
        <v>-6.4099999999999966</v>
      </c>
    </row>
    <row r="4" spans="1:35" x14ac:dyDescent="0.3">
      <c r="C4">
        <v>612</v>
      </c>
      <c r="D4">
        <v>344</v>
      </c>
      <c r="F4">
        <v>-31.94</v>
      </c>
      <c r="G4">
        <v>-33.32</v>
      </c>
      <c r="H4">
        <v>815</v>
      </c>
      <c r="J4">
        <v>-30.71</v>
      </c>
      <c r="K4">
        <v>-32.03</v>
      </c>
      <c r="L4">
        <v>783.54</v>
      </c>
      <c r="N4">
        <v>-34</v>
      </c>
      <c r="O4">
        <v>-32</v>
      </c>
      <c r="P4">
        <v>815</v>
      </c>
      <c r="R4">
        <v>-31.71</v>
      </c>
      <c r="S4">
        <v>-32.450000000000003</v>
      </c>
      <c r="T4">
        <v>789.16</v>
      </c>
      <c r="V4">
        <v>55.04</v>
      </c>
      <c r="W4">
        <v>609</v>
      </c>
      <c r="X4">
        <v>50.25</v>
      </c>
      <c r="Y4">
        <f t="shared" ref="Y4:Y10" si="6">T4-H4</f>
        <v>-25.840000000000032</v>
      </c>
      <c r="AA4">
        <v>53.95</v>
      </c>
      <c r="AB4">
        <v>612.55999999999995</v>
      </c>
      <c r="AC4">
        <v>54.59</v>
      </c>
      <c r="AD4">
        <f t="shared" si="0"/>
        <v>-1</v>
      </c>
      <c r="AE4" s="6">
        <f t="shared" si="1"/>
        <v>1.0899999999999963</v>
      </c>
      <c r="AF4">
        <f t="shared" si="2"/>
        <v>-0.42000000000000171</v>
      </c>
      <c r="AG4" s="3">
        <f t="shared" si="3"/>
        <v>-3.5599999999999454</v>
      </c>
      <c r="AH4">
        <f t="shared" si="4"/>
        <v>5.6200000000000045</v>
      </c>
      <c r="AI4" s="20">
        <f t="shared" si="5"/>
        <v>-4.3400000000000034</v>
      </c>
    </row>
    <row r="5" spans="1:35" x14ac:dyDescent="0.3">
      <c r="C5">
        <v>692</v>
      </c>
      <c r="D5">
        <v>343</v>
      </c>
      <c r="F5">
        <v>73.599999999999994</v>
      </c>
      <c r="G5">
        <v>-34.6</v>
      </c>
      <c r="H5">
        <v>814</v>
      </c>
      <c r="J5">
        <v>70.849999999999994</v>
      </c>
      <c r="K5">
        <v>-33.31</v>
      </c>
      <c r="L5">
        <v>783.58</v>
      </c>
      <c r="N5">
        <v>73</v>
      </c>
      <c r="O5">
        <v>-33</v>
      </c>
      <c r="P5">
        <v>814</v>
      </c>
      <c r="R5">
        <v>70.64</v>
      </c>
      <c r="S5">
        <v>-31.26</v>
      </c>
      <c r="T5">
        <v>789</v>
      </c>
      <c r="V5">
        <v>-47.32</v>
      </c>
      <c r="W5">
        <v>607.86</v>
      </c>
      <c r="X5">
        <v>49.69</v>
      </c>
      <c r="Y5">
        <f t="shared" si="6"/>
        <v>-25</v>
      </c>
      <c r="AA5">
        <v>-47.56</v>
      </c>
      <c r="AB5">
        <v>609.30999999999995</v>
      </c>
      <c r="AC5">
        <v>55.29</v>
      </c>
      <c r="AD5">
        <f t="shared" si="0"/>
        <v>-0.20999999999999375</v>
      </c>
      <c r="AE5" s="6">
        <f t="shared" si="1"/>
        <v>0.24000000000000199</v>
      </c>
      <c r="AF5">
        <f t="shared" si="2"/>
        <v>2.0500000000000007</v>
      </c>
      <c r="AG5" s="3">
        <f t="shared" si="3"/>
        <v>-1.4499999999999318</v>
      </c>
      <c r="AH5">
        <f t="shared" si="4"/>
        <v>5.4199999999999591</v>
      </c>
      <c r="AI5" s="20">
        <f t="shared" si="5"/>
        <v>-5.6000000000000014</v>
      </c>
    </row>
    <row r="6" spans="1:35" x14ac:dyDescent="0.3">
      <c r="C6">
        <v>768</v>
      </c>
      <c r="D6">
        <v>343</v>
      </c>
      <c r="F6">
        <v>173.2</v>
      </c>
      <c r="G6">
        <v>-34.479999999999997</v>
      </c>
      <c r="H6">
        <v>811</v>
      </c>
      <c r="J6">
        <v>166.95</v>
      </c>
      <c r="K6">
        <v>-33.229999999999997</v>
      </c>
      <c r="L6">
        <v>781.76</v>
      </c>
      <c r="N6">
        <v>173</v>
      </c>
      <c r="O6">
        <v>-33</v>
      </c>
      <c r="P6">
        <v>811</v>
      </c>
      <c r="R6">
        <v>168.06</v>
      </c>
      <c r="S6">
        <v>-29.52</v>
      </c>
      <c r="T6">
        <v>786.55</v>
      </c>
      <c r="V6">
        <v>-144.78</v>
      </c>
      <c r="W6">
        <v>608.6</v>
      </c>
      <c r="X6">
        <v>50.67</v>
      </c>
      <c r="Y6">
        <f t="shared" si="6"/>
        <v>-24.450000000000045</v>
      </c>
      <c r="AA6">
        <v>-143.66</v>
      </c>
      <c r="AB6">
        <v>608.36</v>
      </c>
      <c r="AC6">
        <v>56.72</v>
      </c>
      <c r="AD6">
        <f t="shared" si="0"/>
        <v>1.1100000000000136</v>
      </c>
      <c r="AE6" s="6">
        <f t="shared" si="1"/>
        <v>-1.1200000000000045</v>
      </c>
      <c r="AF6">
        <f t="shared" si="2"/>
        <v>3.7099999999999973</v>
      </c>
      <c r="AG6" s="3">
        <f t="shared" si="3"/>
        <v>0.24000000000000909</v>
      </c>
      <c r="AH6">
        <f t="shared" si="4"/>
        <v>4.7899999999999636</v>
      </c>
      <c r="AI6" s="20">
        <f t="shared" si="5"/>
        <v>-6.0499999999999972</v>
      </c>
    </row>
    <row r="7" spans="1:35" x14ac:dyDescent="0.3">
      <c r="C7">
        <v>527</v>
      </c>
      <c r="D7">
        <v>408</v>
      </c>
      <c r="F7">
        <v>-134.63</v>
      </c>
      <c r="G7">
        <v>48.12</v>
      </c>
      <c r="H7">
        <v>761</v>
      </c>
      <c r="J7">
        <v>-129.32</v>
      </c>
      <c r="K7">
        <v>46.22</v>
      </c>
      <c r="L7">
        <v>731</v>
      </c>
      <c r="N7">
        <v>-138</v>
      </c>
      <c r="O7">
        <v>50</v>
      </c>
      <c r="P7">
        <v>761</v>
      </c>
      <c r="R7">
        <v>-131.22999999999999</v>
      </c>
      <c r="S7">
        <v>45.57</v>
      </c>
      <c r="T7">
        <v>735.17</v>
      </c>
      <c r="V7">
        <v>152.49</v>
      </c>
      <c r="W7">
        <v>705.99</v>
      </c>
      <c r="X7">
        <v>49.21</v>
      </c>
      <c r="Y7">
        <f t="shared" si="6"/>
        <v>-25.830000000000041</v>
      </c>
      <c r="AA7">
        <v>150.22999999999999</v>
      </c>
      <c r="AB7">
        <v>708.89</v>
      </c>
      <c r="AC7">
        <v>52.23</v>
      </c>
      <c r="AD7">
        <f t="shared" si="0"/>
        <v>-1.9099999999999966</v>
      </c>
      <c r="AE7" s="6">
        <f t="shared" si="1"/>
        <v>2.2600000000000193</v>
      </c>
      <c r="AF7">
        <f t="shared" si="2"/>
        <v>-0.64999999999999858</v>
      </c>
      <c r="AG7" s="3">
        <f t="shared" si="3"/>
        <v>-2.8999999999999773</v>
      </c>
      <c r="AH7">
        <f t="shared" si="4"/>
        <v>4.1699999999999591</v>
      </c>
      <c r="AI7" s="20">
        <f t="shared" si="5"/>
        <v>-3.019999999999996</v>
      </c>
    </row>
    <row r="8" spans="1:35" x14ac:dyDescent="0.3">
      <c r="C8">
        <v>610</v>
      </c>
      <c r="D8">
        <v>409</v>
      </c>
      <c r="F8">
        <v>-32.25</v>
      </c>
      <c r="G8">
        <v>49.29</v>
      </c>
      <c r="H8">
        <v>760</v>
      </c>
      <c r="J8">
        <v>-30.87</v>
      </c>
      <c r="K8">
        <v>47.19</v>
      </c>
      <c r="L8">
        <v>727.63</v>
      </c>
      <c r="N8">
        <v>-34</v>
      </c>
      <c r="O8">
        <v>51</v>
      </c>
      <c r="P8">
        <v>760</v>
      </c>
      <c r="R8">
        <v>-32.799999999999997</v>
      </c>
      <c r="S8">
        <v>47.62</v>
      </c>
      <c r="T8">
        <v>734.8</v>
      </c>
      <c r="V8">
        <v>54.05</v>
      </c>
      <c r="W8">
        <v>705.76</v>
      </c>
      <c r="X8">
        <v>49.32</v>
      </c>
      <c r="Y8">
        <f t="shared" si="6"/>
        <v>-25.200000000000045</v>
      </c>
      <c r="AA8">
        <v>52.03</v>
      </c>
      <c r="AB8">
        <v>709.52</v>
      </c>
      <c r="AC8">
        <v>54.42</v>
      </c>
      <c r="AD8">
        <f t="shared" si="0"/>
        <v>-1.9299999999999962</v>
      </c>
      <c r="AE8" s="6">
        <f t="shared" si="1"/>
        <v>2.019999999999996</v>
      </c>
      <c r="AF8">
        <f t="shared" si="2"/>
        <v>0.42999999999999972</v>
      </c>
      <c r="AG8" s="3">
        <f t="shared" si="3"/>
        <v>-3.7599999999999909</v>
      </c>
      <c r="AH8">
        <f t="shared" si="4"/>
        <v>7.1699999999999591</v>
      </c>
      <c r="AI8" s="20">
        <f t="shared" si="5"/>
        <v>-5.1000000000000014</v>
      </c>
    </row>
    <row r="9" spans="1:35" x14ac:dyDescent="0.3">
      <c r="C9">
        <v>695</v>
      </c>
      <c r="D9">
        <v>410</v>
      </c>
      <c r="F9">
        <v>72.22</v>
      </c>
      <c r="G9">
        <v>50.4</v>
      </c>
      <c r="H9">
        <v>758</v>
      </c>
      <c r="J9">
        <v>69.150000000000006</v>
      </c>
      <c r="K9">
        <v>48.25</v>
      </c>
      <c r="L9">
        <v>725.75</v>
      </c>
      <c r="N9">
        <v>71</v>
      </c>
      <c r="O9">
        <v>52</v>
      </c>
      <c r="P9">
        <v>758</v>
      </c>
      <c r="R9">
        <v>69.459999999999994</v>
      </c>
      <c r="S9">
        <v>48.98</v>
      </c>
      <c r="T9">
        <v>732.09</v>
      </c>
      <c r="V9">
        <v>-48.26</v>
      </c>
      <c r="W9">
        <v>706.24</v>
      </c>
      <c r="X9">
        <v>49.74</v>
      </c>
      <c r="Y9">
        <f t="shared" si="6"/>
        <v>-25.909999999999968</v>
      </c>
      <c r="AA9">
        <v>-48.01</v>
      </c>
      <c r="AB9">
        <v>709.32</v>
      </c>
      <c r="AC9">
        <v>55.33</v>
      </c>
      <c r="AD9">
        <f t="shared" si="0"/>
        <v>0.30999999999998806</v>
      </c>
      <c r="AE9" s="6">
        <f t="shared" si="1"/>
        <v>-0.25</v>
      </c>
      <c r="AF9">
        <f t="shared" si="2"/>
        <v>0.72999999999999687</v>
      </c>
      <c r="AG9" s="3">
        <f t="shared" si="3"/>
        <v>-3.0800000000000409</v>
      </c>
      <c r="AH9">
        <f t="shared" si="4"/>
        <v>6.3400000000000318</v>
      </c>
      <c r="AI9" s="20">
        <f t="shared" si="5"/>
        <v>-5.5899999999999963</v>
      </c>
    </row>
    <row r="10" spans="1:35" x14ac:dyDescent="0.3">
      <c r="C10">
        <v>778</v>
      </c>
      <c r="D10">
        <v>410</v>
      </c>
      <c r="F10">
        <v>173.7</v>
      </c>
      <c r="G10">
        <v>50.26</v>
      </c>
      <c r="H10">
        <v>756</v>
      </c>
      <c r="J10">
        <v>166.83</v>
      </c>
      <c r="K10">
        <v>48.28</v>
      </c>
      <c r="L10">
        <v>726.11</v>
      </c>
      <c r="N10">
        <v>173</v>
      </c>
      <c r="O10">
        <v>52</v>
      </c>
      <c r="P10">
        <v>756</v>
      </c>
      <c r="R10">
        <v>166.54</v>
      </c>
      <c r="S10">
        <v>50.6</v>
      </c>
      <c r="T10">
        <v>730.77</v>
      </c>
      <c r="V10">
        <v>-145.36000000000001</v>
      </c>
      <c r="W10">
        <v>706.24</v>
      </c>
      <c r="X10">
        <v>49.87</v>
      </c>
      <c r="Y10">
        <f t="shared" si="6"/>
        <v>-25.230000000000018</v>
      </c>
      <c r="AA10">
        <v>-145.66</v>
      </c>
      <c r="AB10">
        <v>707.03</v>
      </c>
      <c r="AC10">
        <v>55.01</v>
      </c>
      <c r="AD10">
        <f t="shared" si="0"/>
        <v>-0.29000000000002046</v>
      </c>
      <c r="AE10" s="6">
        <f t="shared" si="1"/>
        <v>0.29999999999998295</v>
      </c>
      <c r="AF10">
        <f t="shared" si="2"/>
        <v>2.3200000000000003</v>
      </c>
      <c r="AG10" s="3">
        <f t="shared" si="3"/>
        <v>-0.78999999999996362</v>
      </c>
      <c r="AH10">
        <f t="shared" si="4"/>
        <v>4.6599999999999682</v>
      </c>
      <c r="AI10" s="20">
        <f t="shared" si="5"/>
        <v>-5.1400000000000006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H9" sqref="H9"/>
    </sheetView>
  </sheetViews>
  <sheetFormatPr baseColWidth="10" defaultColWidth="8.88671875" defaultRowHeight="14.4" x14ac:dyDescent="0.3"/>
  <cols>
    <col min="1" max="1" width="12.109375" customWidth="1"/>
    <col min="5" max="5" width="13.88671875" customWidth="1"/>
    <col min="9" max="9" width="19.44140625" customWidth="1"/>
    <col min="13" max="13" width="9.88671875" customWidth="1"/>
    <col min="17" max="17" width="15.6640625" customWidth="1"/>
    <col min="21" max="21" width="13" customWidth="1"/>
    <col min="25" max="25" width="21.88671875" customWidth="1"/>
    <col min="29" max="29" width="16" customWidth="1"/>
    <col min="30" max="31" width="11.6640625" customWidth="1"/>
    <col min="32" max="32" width="11" customWidth="1"/>
    <col min="33" max="33" width="12.5546875" customWidth="1"/>
    <col min="34" max="34" width="11.6640625" customWidth="1"/>
  </cols>
  <sheetData>
    <row r="1" spans="1:35" x14ac:dyDescent="0.3">
      <c r="A1" s="18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t="s">
        <v>18</v>
      </c>
      <c r="V2" t="s">
        <v>1</v>
      </c>
      <c r="W2" t="s">
        <v>2</v>
      </c>
      <c r="X2" t="s">
        <v>3</v>
      </c>
      <c r="Y2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536</v>
      </c>
      <c r="D3">
        <v>342</v>
      </c>
      <c r="F3">
        <v>-131.16</v>
      </c>
      <c r="G3">
        <v>-35.659999999999997</v>
      </c>
      <c r="H3">
        <v>808</v>
      </c>
      <c r="J3">
        <v>-128.51</v>
      </c>
      <c r="K3">
        <v>-34.94</v>
      </c>
      <c r="L3">
        <v>791.68</v>
      </c>
      <c r="N3">
        <v>-134</v>
      </c>
      <c r="O3">
        <v>-34</v>
      </c>
      <c r="P3">
        <v>808</v>
      </c>
      <c r="R3">
        <v>-129.53</v>
      </c>
      <c r="S3">
        <v>-34.42</v>
      </c>
      <c r="T3">
        <v>791.83</v>
      </c>
      <c r="V3">
        <v>152.62</v>
      </c>
      <c r="W3">
        <v>608.69000000000005</v>
      </c>
      <c r="X3">
        <v>49.67</v>
      </c>
      <c r="Y3">
        <f>T3-H3</f>
        <v>-16.169999999999959</v>
      </c>
      <c r="AA3">
        <v>151.88</v>
      </c>
      <c r="AB3">
        <v>607.58000000000004</v>
      </c>
      <c r="AC3">
        <v>49.63</v>
      </c>
      <c r="AD3">
        <f t="shared" ref="AD3:AD10" si="0">R3-J3</f>
        <v>-1.0200000000000102</v>
      </c>
      <c r="AE3" s="6">
        <f t="shared" ref="AE3:AE10" si="1">V3-AA3</f>
        <v>0.74000000000000909</v>
      </c>
      <c r="AF3">
        <f t="shared" ref="AF3:AF10" si="2">S3-K3</f>
        <v>0.51999999999999602</v>
      </c>
      <c r="AG3" s="3">
        <f t="shared" ref="AG3:AG10" si="3">W3-AB3</f>
        <v>1.1100000000000136</v>
      </c>
      <c r="AH3">
        <f t="shared" ref="AH3:AH10" si="4">T3-L3</f>
        <v>0.15000000000009095</v>
      </c>
      <c r="AI3" s="20">
        <f t="shared" ref="AI3:AI10" si="5">X3-AC3</f>
        <v>3.9999999999999147E-2</v>
      </c>
    </row>
    <row r="4" spans="1:35" x14ac:dyDescent="0.3">
      <c r="C4">
        <v>612</v>
      </c>
      <c r="D4">
        <v>344</v>
      </c>
      <c r="F4">
        <v>-31.55</v>
      </c>
      <c r="G4">
        <v>-32.909999999999997</v>
      </c>
      <c r="H4">
        <v>805</v>
      </c>
      <c r="J4">
        <v>-30.8</v>
      </c>
      <c r="K4">
        <v>-32.130000000000003</v>
      </c>
      <c r="L4">
        <v>785.96</v>
      </c>
      <c r="N4">
        <v>-34</v>
      </c>
      <c r="O4">
        <v>-32</v>
      </c>
      <c r="P4">
        <v>805</v>
      </c>
      <c r="R4">
        <v>-32.83</v>
      </c>
      <c r="S4">
        <v>-31.72</v>
      </c>
      <c r="T4">
        <v>790.27</v>
      </c>
      <c r="V4">
        <v>56.16</v>
      </c>
      <c r="W4">
        <v>608.98</v>
      </c>
      <c r="X4">
        <v>48.92</v>
      </c>
      <c r="Y4">
        <f t="shared" ref="Y4:Y10" si="6">T4-H4</f>
        <v>-14.730000000000018</v>
      </c>
      <c r="AA4">
        <v>54.08</v>
      </c>
      <c r="AB4">
        <v>611.08000000000004</v>
      </c>
      <c r="AC4">
        <v>52.68</v>
      </c>
      <c r="AD4">
        <f t="shared" si="0"/>
        <v>-2.0299999999999976</v>
      </c>
      <c r="AE4" s="6">
        <f t="shared" si="1"/>
        <v>2.0799999999999983</v>
      </c>
      <c r="AF4">
        <f t="shared" si="2"/>
        <v>0.41000000000000369</v>
      </c>
      <c r="AG4" s="3">
        <f t="shared" si="3"/>
        <v>-2.1000000000000227</v>
      </c>
      <c r="AH4">
        <f t="shared" si="4"/>
        <v>4.3099999999999454</v>
      </c>
      <c r="AI4" s="20">
        <f t="shared" si="5"/>
        <v>-3.759999999999998</v>
      </c>
    </row>
    <row r="5" spans="1:35" x14ac:dyDescent="0.3">
      <c r="C5">
        <v>692</v>
      </c>
      <c r="D5">
        <v>343</v>
      </c>
      <c r="F5">
        <v>72.790000000000006</v>
      </c>
      <c r="G5">
        <v>-34.22</v>
      </c>
      <c r="H5">
        <v>805</v>
      </c>
      <c r="J5">
        <v>71.05</v>
      </c>
      <c r="K5">
        <v>-33.4</v>
      </c>
      <c r="L5">
        <v>785.77</v>
      </c>
      <c r="N5">
        <v>72</v>
      </c>
      <c r="O5">
        <v>-33</v>
      </c>
      <c r="P5">
        <v>805</v>
      </c>
      <c r="R5">
        <v>70.69</v>
      </c>
      <c r="S5">
        <v>-30.39</v>
      </c>
      <c r="T5">
        <v>787.93</v>
      </c>
      <c r="V5">
        <v>-47.32</v>
      </c>
      <c r="W5">
        <v>607.86</v>
      </c>
      <c r="X5">
        <v>49.69</v>
      </c>
      <c r="Y5">
        <f t="shared" si="6"/>
        <v>-17.07000000000005</v>
      </c>
      <c r="AA5">
        <v>-47.73</v>
      </c>
      <c r="AB5">
        <v>607.96</v>
      </c>
      <c r="AC5">
        <v>53.55</v>
      </c>
      <c r="AD5">
        <f t="shared" si="0"/>
        <v>-0.35999999999999943</v>
      </c>
      <c r="AE5" s="6">
        <f t="shared" si="1"/>
        <v>0.40999999999999659</v>
      </c>
      <c r="AF5">
        <f t="shared" si="2"/>
        <v>3.009999999999998</v>
      </c>
      <c r="AG5" s="3">
        <f t="shared" si="3"/>
        <v>-0.10000000000002274</v>
      </c>
      <c r="AH5">
        <f t="shared" si="4"/>
        <v>2.1599999999999682</v>
      </c>
      <c r="AI5" s="20">
        <f t="shared" si="5"/>
        <v>-3.8599999999999994</v>
      </c>
    </row>
    <row r="6" spans="1:35" x14ac:dyDescent="0.3">
      <c r="C6">
        <v>768</v>
      </c>
      <c r="D6">
        <v>343</v>
      </c>
      <c r="F6">
        <v>171.49</v>
      </c>
      <c r="G6">
        <v>-34.14</v>
      </c>
      <c r="H6">
        <v>803</v>
      </c>
      <c r="J6">
        <v>167.87</v>
      </c>
      <c r="K6">
        <v>-33.42</v>
      </c>
      <c r="L6">
        <v>786.07</v>
      </c>
      <c r="N6">
        <v>171</v>
      </c>
      <c r="O6">
        <v>-33</v>
      </c>
      <c r="P6">
        <v>803</v>
      </c>
      <c r="R6">
        <v>169.34</v>
      </c>
      <c r="S6">
        <v>-27.85</v>
      </c>
      <c r="T6">
        <v>786.81</v>
      </c>
      <c r="V6">
        <v>-144.78</v>
      </c>
      <c r="W6">
        <v>608.6</v>
      </c>
      <c r="X6">
        <v>50.67</v>
      </c>
      <c r="Y6">
        <f t="shared" si="6"/>
        <v>-16.190000000000055</v>
      </c>
      <c r="AA6">
        <v>-144.52000000000001</v>
      </c>
      <c r="AB6">
        <v>605.70000000000005</v>
      </c>
      <c r="AC6">
        <v>53.31</v>
      </c>
      <c r="AD6">
        <f t="shared" si="0"/>
        <v>1.4699999999999989</v>
      </c>
      <c r="AE6" s="6">
        <f t="shared" si="1"/>
        <v>-0.25999999999999091</v>
      </c>
      <c r="AF6">
        <f t="shared" si="2"/>
        <v>5.57</v>
      </c>
      <c r="AG6" s="3">
        <f t="shared" si="3"/>
        <v>2.8999999999999773</v>
      </c>
      <c r="AH6">
        <f t="shared" si="4"/>
        <v>0.73999999999989541</v>
      </c>
      <c r="AI6" s="20">
        <f t="shared" si="5"/>
        <v>-2.6400000000000006</v>
      </c>
    </row>
    <row r="7" spans="1:35" x14ac:dyDescent="0.3">
      <c r="C7">
        <v>527</v>
      </c>
      <c r="D7">
        <v>408</v>
      </c>
      <c r="F7">
        <v>-133.38999999999999</v>
      </c>
      <c r="G7">
        <v>47.68</v>
      </c>
      <c r="H7">
        <v>754</v>
      </c>
      <c r="J7">
        <v>-130.28</v>
      </c>
      <c r="K7">
        <v>46.57</v>
      </c>
      <c r="L7">
        <v>736.45</v>
      </c>
      <c r="N7">
        <v>-136</v>
      </c>
      <c r="O7">
        <v>50</v>
      </c>
      <c r="P7">
        <v>754</v>
      </c>
      <c r="R7">
        <v>-131.63</v>
      </c>
      <c r="S7">
        <v>45.1</v>
      </c>
      <c r="T7">
        <v>734.98</v>
      </c>
      <c r="V7">
        <v>152.49</v>
      </c>
      <c r="W7">
        <v>705.99</v>
      </c>
      <c r="X7">
        <v>49.21</v>
      </c>
      <c r="Y7">
        <f t="shared" si="6"/>
        <v>-19.019999999999982</v>
      </c>
      <c r="AA7">
        <v>151.54</v>
      </c>
      <c r="AB7">
        <v>706.04</v>
      </c>
      <c r="AC7">
        <v>47.59</v>
      </c>
      <c r="AD7">
        <f t="shared" si="0"/>
        <v>-1.3499999999999943</v>
      </c>
      <c r="AE7" s="6">
        <f t="shared" si="1"/>
        <v>0.95000000000001705</v>
      </c>
      <c r="AF7">
        <f t="shared" si="2"/>
        <v>-1.4699999999999989</v>
      </c>
      <c r="AG7" s="3">
        <f t="shared" si="3"/>
        <v>-4.9999999999954525E-2</v>
      </c>
      <c r="AH7">
        <f t="shared" si="4"/>
        <v>-1.4700000000000273</v>
      </c>
      <c r="AI7" s="20">
        <f t="shared" si="5"/>
        <v>1.6199999999999974</v>
      </c>
    </row>
    <row r="8" spans="1:35" x14ac:dyDescent="0.3">
      <c r="C8">
        <v>610</v>
      </c>
      <c r="D8">
        <v>409</v>
      </c>
      <c r="F8">
        <v>-31.91</v>
      </c>
      <c r="G8">
        <v>48.77</v>
      </c>
      <c r="H8">
        <v>752</v>
      </c>
      <c r="J8">
        <v>-31.1</v>
      </c>
      <c r="K8">
        <v>47.54</v>
      </c>
      <c r="L8">
        <v>733.01</v>
      </c>
      <c r="N8">
        <v>-34</v>
      </c>
      <c r="O8">
        <v>51</v>
      </c>
      <c r="P8">
        <v>752</v>
      </c>
      <c r="R8">
        <v>-33.79</v>
      </c>
      <c r="S8">
        <v>46.75</v>
      </c>
      <c r="T8">
        <v>734.47</v>
      </c>
      <c r="V8">
        <v>54.05</v>
      </c>
      <c r="W8">
        <v>705.76</v>
      </c>
      <c r="X8">
        <v>49.32</v>
      </c>
      <c r="Y8">
        <f t="shared" si="6"/>
        <v>-17.529999999999973</v>
      </c>
      <c r="AA8">
        <v>52.32</v>
      </c>
      <c r="AB8">
        <v>706.7</v>
      </c>
      <c r="AC8">
        <v>49.82</v>
      </c>
      <c r="AD8">
        <f t="shared" si="0"/>
        <v>-2.6899999999999977</v>
      </c>
      <c r="AE8" s="6">
        <f t="shared" si="1"/>
        <v>1.7299999999999969</v>
      </c>
      <c r="AF8">
        <f t="shared" si="2"/>
        <v>-0.78999999999999915</v>
      </c>
      <c r="AG8" s="3">
        <f t="shared" si="3"/>
        <v>-0.94000000000005457</v>
      </c>
      <c r="AH8">
        <f t="shared" si="4"/>
        <v>1.4600000000000364</v>
      </c>
      <c r="AI8" s="20">
        <f t="shared" si="5"/>
        <v>-0.5</v>
      </c>
    </row>
    <row r="9" spans="1:35" x14ac:dyDescent="0.3">
      <c r="C9">
        <v>695</v>
      </c>
      <c r="D9">
        <v>410</v>
      </c>
      <c r="F9">
        <v>71.459999999999994</v>
      </c>
      <c r="G9">
        <v>49.86</v>
      </c>
      <c r="H9">
        <v>760</v>
      </c>
      <c r="J9">
        <v>69.680000000000007</v>
      </c>
      <c r="K9">
        <v>48.63</v>
      </c>
      <c r="L9">
        <v>731.36</v>
      </c>
      <c r="N9">
        <v>71</v>
      </c>
      <c r="O9">
        <v>52</v>
      </c>
      <c r="P9">
        <v>750</v>
      </c>
      <c r="R9">
        <v>68.790000000000006</v>
      </c>
      <c r="S9">
        <v>49.46</v>
      </c>
      <c r="T9">
        <v>732.41</v>
      </c>
      <c r="V9">
        <v>-48.26</v>
      </c>
      <c r="W9">
        <v>706.24</v>
      </c>
      <c r="X9">
        <v>49.74</v>
      </c>
      <c r="Y9">
        <f t="shared" si="6"/>
        <v>-27.590000000000032</v>
      </c>
      <c r="AA9">
        <v>-48.48</v>
      </c>
      <c r="AB9">
        <v>706.37</v>
      </c>
      <c r="AC9">
        <v>50.54</v>
      </c>
      <c r="AD9">
        <f t="shared" si="0"/>
        <v>-0.89000000000000057</v>
      </c>
      <c r="AE9" s="6">
        <f t="shared" si="1"/>
        <v>0.21999999999999886</v>
      </c>
      <c r="AF9">
        <f t="shared" si="2"/>
        <v>0.82999999999999829</v>
      </c>
      <c r="AG9" s="3">
        <f t="shared" si="3"/>
        <v>-0.12999999999999545</v>
      </c>
      <c r="AH9">
        <f t="shared" si="4"/>
        <v>1.0499999999999545</v>
      </c>
      <c r="AI9" s="20">
        <f t="shared" si="5"/>
        <v>-0.79999999999999716</v>
      </c>
    </row>
    <row r="10" spans="1:35" x14ac:dyDescent="0.3">
      <c r="C10">
        <v>778</v>
      </c>
      <c r="D10">
        <v>410</v>
      </c>
      <c r="F10">
        <v>171.86</v>
      </c>
      <c r="G10">
        <v>49.73</v>
      </c>
      <c r="H10">
        <v>748</v>
      </c>
      <c r="J10">
        <v>167.9</v>
      </c>
      <c r="K10">
        <v>48.58</v>
      </c>
      <c r="L10">
        <v>730.74</v>
      </c>
      <c r="N10">
        <v>171</v>
      </c>
      <c r="O10">
        <v>51</v>
      </c>
      <c r="P10">
        <v>748</v>
      </c>
      <c r="R10">
        <v>166.33</v>
      </c>
      <c r="S10">
        <v>50.98</v>
      </c>
      <c r="T10">
        <v>730.94</v>
      </c>
      <c r="V10">
        <v>-145.36000000000001</v>
      </c>
      <c r="W10">
        <v>706.24</v>
      </c>
      <c r="X10">
        <v>49.87</v>
      </c>
      <c r="Y10">
        <f t="shared" si="6"/>
        <v>-17.059999999999945</v>
      </c>
      <c r="AA10">
        <v>-146.66999999999999</v>
      </c>
      <c r="AB10">
        <v>704.58</v>
      </c>
      <c r="AC10">
        <v>51.06</v>
      </c>
      <c r="AD10">
        <f t="shared" si="0"/>
        <v>-1.5699999999999932</v>
      </c>
      <c r="AE10" s="6">
        <f t="shared" si="1"/>
        <v>1.3099999999999739</v>
      </c>
      <c r="AF10">
        <f t="shared" si="2"/>
        <v>2.3999999999999986</v>
      </c>
      <c r="AG10" s="3">
        <f t="shared" si="3"/>
        <v>1.6599999999999682</v>
      </c>
      <c r="AH10">
        <f t="shared" si="4"/>
        <v>0.20000000000004547</v>
      </c>
      <c r="AI10" s="20">
        <f t="shared" si="5"/>
        <v>-1.1900000000000048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Y14" sqref="Y14"/>
    </sheetView>
  </sheetViews>
  <sheetFormatPr baseColWidth="10" defaultColWidth="8.88671875" defaultRowHeight="14.4" x14ac:dyDescent="0.3"/>
  <cols>
    <col min="1" max="1" width="13.5546875" customWidth="1"/>
    <col min="5" max="5" width="13.44140625" customWidth="1"/>
    <col min="9" max="9" width="22.5546875" customWidth="1"/>
    <col min="17" max="17" width="17.6640625" customWidth="1"/>
    <col min="21" max="21" width="15.5546875" customWidth="1"/>
    <col min="25" max="25" width="23.5546875" customWidth="1"/>
    <col min="29" max="29" width="12.88671875" customWidth="1"/>
    <col min="30" max="30" width="12.6640625" customWidth="1"/>
    <col min="31" max="31" width="12.109375" customWidth="1"/>
    <col min="32" max="32" width="13.5546875" customWidth="1"/>
    <col min="33" max="33" width="11.88671875" customWidth="1"/>
    <col min="34" max="34" width="10.6640625" customWidth="1"/>
  </cols>
  <sheetData>
    <row r="1" spans="1:35" x14ac:dyDescent="0.3">
      <c r="A1" s="27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s="26" t="s">
        <v>18</v>
      </c>
      <c r="V2" s="26" t="s">
        <v>1</v>
      </c>
      <c r="W2" s="26" t="s">
        <v>2</v>
      </c>
      <c r="X2" s="26" t="s">
        <v>3</v>
      </c>
      <c r="Y2" s="26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535</v>
      </c>
      <c r="D3">
        <v>342</v>
      </c>
      <c r="F3">
        <v>-133.94</v>
      </c>
      <c r="G3">
        <v>-36.06</v>
      </c>
      <c r="H3">
        <v>817</v>
      </c>
      <c r="J3">
        <v>-129.15</v>
      </c>
      <c r="K3">
        <v>-34.770000000000003</v>
      </c>
      <c r="L3">
        <v>787.74</v>
      </c>
      <c r="N3">
        <v>-137</v>
      </c>
      <c r="O3">
        <v>-35</v>
      </c>
      <c r="P3">
        <v>817</v>
      </c>
      <c r="R3">
        <v>-128.94</v>
      </c>
      <c r="S3">
        <v>-34.21</v>
      </c>
      <c r="T3">
        <v>791.03</v>
      </c>
      <c r="U3" s="26"/>
      <c r="V3" s="26">
        <v>152.30000000000001</v>
      </c>
      <c r="W3" s="26">
        <v>608.57000000000005</v>
      </c>
      <c r="X3" s="26">
        <v>49.75</v>
      </c>
      <c r="Y3">
        <f>T3-H3</f>
        <v>-25.970000000000027</v>
      </c>
      <c r="AA3">
        <v>152.47</v>
      </c>
      <c r="AB3">
        <v>610.01</v>
      </c>
      <c r="AC3">
        <v>52.75</v>
      </c>
      <c r="AD3">
        <f t="shared" ref="AD3:AD10" si="0">R3-J3</f>
        <v>0.21000000000000796</v>
      </c>
      <c r="AE3" s="6">
        <f t="shared" ref="AE3:AE10" si="1">V3-AA3</f>
        <v>-0.16999999999998749</v>
      </c>
      <c r="AF3">
        <f t="shared" ref="AF3:AF10" si="2">S3-K3</f>
        <v>0.56000000000000227</v>
      </c>
      <c r="AG3" s="3">
        <f t="shared" ref="AG3:AG10" si="3">W3-AB3</f>
        <v>-1.4399999999999409</v>
      </c>
      <c r="AH3">
        <f t="shared" ref="AH3:AH10" si="4">T3-L3</f>
        <v>3.2899999999999636</v>
      </c>
      <c r="AI3" s="20">
        <f t="shared" ref="AI3:AI10" si="5">X3-AC3</f>
        <v>-3</v>
      </c>
    </row>
    <row r="4" spans="1:35" x14ac:dyDescent="0.3">
      <c r="C4">
        <v>612</v>
      </c>
      <c r="D4">
        <v>344</v>
      </c>
      <c r="F4">
        <v>-31.98</v>
      </c>
      <c r="G4">
        <v>-33.36</v>
      </c>
      <c r="H4">
        <v>816</v>
      </c>
      <c r="J4">
        <v>-30.89</v>
      </c>
      <c r="K4">
        <v>-32.229999999999997</v>
      </c>
      <c r="L4">
        <v>788.34</v>
      </c>
      <c r="N4">
        <v>-34</v>
      </c>
      <c r="O4">
        <v>-32</v>
      </c>
      <c r="P4">
        <v>816</v>
      </c>
      <c r="R4">
        <v>-31.87</v>
      </c>
      <c r="S4">
        <v>-32.270000000000003</v>
      </c>
      <c r="T4">
        <v>789.63</v>
      </c>
      <c r="U4" s="26"/>
      <c r="V4" s="26">
        <v>55.2</v>
      </c>
      <c r="W4" s="26">
        <v>608.88</v>
      </c>
      <c r="X4" s="26">
        <v>49.76</v>
      </c>
      <c r="Y4">
        <f t="shared" ref="Y4:Y10" si="6">T4-H4</f>
        <v>-26.370000000000005</v>
      </c>
      <c r="AA4">
        <v>54.2</v>
      </c>
      <c r="AB4">
        <v>609.63</v>
      </c>
      <c r="AC4">
        <v>50.78</v>
      </c>
      <c r="AD4">
        <f t="shared" si="0"/>
        <v>-0.98000000000000043</v>
      </c>
      <c r="AE4" s="6">
        <f t="shared" si="1"/>
        <v>1</v>
      </c>
      <c r="AF4">
        <f t="shared" si="2"/>
        <v>-4.0000000000006253E-2</v>
      </c>
      <c r="AG4" s="3">
        <f t="shared" si="3"/>
        <v>-0.75</v>
      </c>
      <c r="AH4">
        <f t="shared" si="4"/>
        <v>1.2899999999999636</v>
      </c>
      <c r="AI4" s="20">
        <f t="shared" si="5"/>
        <v>-1.0200000000000031</v>
      </c>
    </row>
    <row r="5" spans="1:35" x14ac:dyDescent="0.3">
      <c r="C5">
        <v>692</v>
      </c>
      <c r="D5">
        <v>343</v>
      </c>
      <c r="F5">
        <v>73.42</v>
      </c>
      <c r="G5">
        <v>-34.520000000000003</v>
      </c>
      <c r="H5">
        <v>812</v>
      </c>
      <c r="J5">
        <v>70.83</v>
      </c>
      <c r="K5">
        <v>-33.299999999999997</v>
      </c>
      <c r="L5">
        <v>783.3</v>
      </c>
      <c r="N5">
        <v>73</v>
      </c>
      <c r="O5">
        <v>-33</v>
      </c>
      <c r="P5">
        <v>812</v>
      </c>
      <c r="R5">
        <v>71.06</v>
      </c>
      <c r="S5">
        <v>-30.38</v>
      </c>
      <c r="T5">
        <v>787.78</v>
      </c>
      <c r="U5" s="26"/>
      <c r="V5" s="26">
        <v>-47.77</v>
      </c>
      <c r="W5" s="26">
        <v>609.27</v>
      </c>
      <c r="X5" s="26">
        <v>50.17</v>
      </c>
      <c r="Y5">
        <f t="shared" si="6"/>
        <v>-24.220000000000027</v>
      </c>
      <c r="AA5">
        <v>-47.54</v>
      </c>
      <c r="AB5">
        <v>609.48</v>
      </c>
      <c r="AC5">
        <v>55.51</v>
      </c>
      <c r="AD5">
        <f t="shared" si="0"/>
        <v>0.23000000000000398</v>
      </c>
      <c r="AE5" s="6">
        <f t="shared" si="1"/>
        <v>-0.23000000000000398</v>
      </c>
      <c r="AF5">
        <f t="shared" si="2"/>
        <v>2.9199999999999982</v>
      </c>
      <c r="AG5" s="3">
        <f t="shared" si="3"/>
        <v>-0.21000000000003638</v>
      </c>
      <c r="AH5">
        <f t="shared" si="4"/>
        <v>4.4800000000000182</v>
      </c>
      <c r="AI5" s="20">
        <f t="shared" si="5"/>
        <v>-5.3399999999999963</v>
      </c>
    </row>
    <row r="6" spans="1:35" x14ac:dyDescent="0.3">
      <c r="C6">
        <v>768</v>
      </c>
      <c r="D6">
        <v>343</v>
      </c>
      <c r="F6">
        <v>173.41</v>
      </c>
      <c r="G6">
        <v>-34.520000000000003</v>
      </c>
      <c r="H6">
        <v>812</v>
      </c>
      <c r="J6">
        <v>167.57</v>
      </c>
      <c r="K6">
        <v>-33.36</v>
      </c>
      <c r="L6">
        <v>784.67</v>
      </c>
      <c r="N6">
        <v>173</v>
      </c>
      <c r="O6">
        <v>-33</v>
      </c>
      <c r="P6">
        <v>812</v>
      </c>
      <c r="R6">
        <v>168.49</v>
      </c>
      <c r="S6">
        <v>-29.32</v>
      </c>
      <c r="T6">
        <v>786.36</v>
      </c>
      <c r="U6" s="26"/>
      <c r="V6" s="26">
        <v>-145.22</v>
      </c>
      <c r="W6" s="26">
        <v>608.87</v>
      </c>
      <c r="X6" s="26">
        <v>50.71</v>
      </c>
      <c r="Y6">
        <f t="shared" si="6"/>
        <v>-25.639999999999986</v>
      </c>
      <c r="AA6">
        <v>-144.24</v>
      </c>
      <c r="AB6">
        <v>606.57000000000005</v>
      </c>
      <c r="AC6">
        <v>54.42</v>
      </c>
      <c r="AD6">
        <f t="shared" si="0"/>
        <v>0.92000000000001592</v>
      </c>
      <c r="AE6" s="6">
        <f t="shared" si="1"/>
        <v>-0.97999999999998977</v>
      </c>
      <c r="AF6">
        <f t="shared" si="2"/>
        <v>4.0399999999999991</v>
      </c>
      <c r="AG6" s="3">
        <f t="shared" si="3"/>
        <v>2.2999999999999545</v>
      </c>
      <c r="AH6">
        <f t="shared" si="4"/>
        <v>1.6900000000000546</v>
      </c>
      <c r="AI6" s="20">
        <f t="shared" si="5"/>
        <v>-3.7100000000000009</v>
      </c>
    </row>
    <row r="7" spans="1:35" x14ac:dyDescent="0.3">
      <c r="C7">
        <v>527</v>
      </c>
      <c r="D7">
        <v>408</v>
      </c>
      <c r="F7">
        <v>-134.63</v>
      </c>
      <c r="G7">
        <v>48.12</v>
      </c>
      <c r="H7">
        <v>761</v>
      </c>
      <c r="J7">
        <v>-129.88999999999999</v>
      </c>
      <c r="K7">
        <v>46.43</v>
      </c>
      <c r="L7">
        <v>734.21</v>
      </c>
      <c r="N7">
        <v>-138</v>
      </c>
      <c r="O7">
        <v>50</v>
      </c>
      <c r="P7">
        <v>761</v>
      </c>
      <c r="R7">
        <v>-131.37</v>
      </c>
      <c r="S7">
        <v>45.74</v>
      </c>
      <c r="T7">
        <v>734.72</v>
      </c>
      <c r="U7" s="26"/>
      <c r="V7" s="26">
        <v>152.62</v>
      </c>
      <c r="W7" s="26">
        <v>706.4</v>
      </c>
      <c r="X7" s="26">
        <v>49.48</v>
      </c>
      <c r="Y7">
        <f t="shared" si="6"/>
        <v>-26.279999999999973</v>
      </c>
      <c r="AA7">
        <v>151.12</v>
      </c>
      <c r="AB7">
        <v>707.21</v>
      </c>
      <c r="AC7">
        <v>49.49</v>
      </c>
      <c r="AD7">
        <f t="shared" si="0"/>
        <v>-1.4800000000000182</v>
      </c>
      <c r="AE7" s="6">
        <f t="shared" si="1"/>
        <v>1.5</v>
      </c>
      <c r="AF7">
        <f t="shared" si="2"/>
        <v>-0.68999999999999773</v>
      </c>
      <c r="AG7" s="3">
        <f t="shared" si="3"/>
        <v>-0.81000000000005912</v>
      </c>
      <c r="AH7">
        <f t="shared" si="4"/>
        <v>0.50999999999999091</v>
      </c>
      <c r="AI7" s="20">
        <f t="shared" si="5"/>
        <v>-1.0000000000005116E-2</v>
      </c>
    </row>
    <row r="8" spans="1:35" x14ac:dyDescent="0.3">
      <c r="C8">
        <v>610</v>
      </c>
      <c r="D8">
        <v>409</v>
      </c>
      <c r="F8">
        <v>-32.25</v>
      </c>
      <c r="G8">
        <v>49.29</v>
      </c>
      <c r="H8">
        <v>760</v>
      </c>
      <c r="J8">
        <v>-31.06</v>
      </c>
      <c r="K8">
        <v>47.48</v>
      </c>
      <c r="L8">
        <v>732.04</v>
      </c>
      <c r="N8">
        <v>-34</v>
      </c>
      <c r="O8">
        <v>51</v>
      </c>
      <c r="P8">
        <v>760</v>
      </c>
      <c r="R8">
        <v>-32.64</v>
      </c>
      <c r="S8">
        <v>47.73</v>
      </c>
      <c r="T8">
        <v>733.83</v>
      </c>
      <c r="U8" s="26"/>
      <c r="V8" s="26">
        <v>53.87</v>
      </c>
      <c r="W8" s="26">
        <v>706.41</v>
      </c>
      <c r="X8" s="26">
        <v>49.05</v>
      </c>
      <c r="Y8">
        <f t="shared" si="6"/>
        <v>-26.169999999999959</v>
      </c>
      <c r="AA8">
        <v>52.27</v>
      </c>
      <c r="AB8">
        <v>707.2</v>
      </c>
      <c r="AC8">
        <v>50.65</v>
      </c>
      <c r="AD8">
        <f t="shared" si="0"/>
        <v>-1.5800000000000018</v>
      </c>
      <c r="AE8" s="6">
        <f t="shared" si="1"/>
        <v>1.5999999999999943</v>
      </c>
      <c r="AF8">
        <f t="shared" si="2"/>
        <v>0.25</v>
      </c>
      <c r="AG8" s="3">
        <f t="shared" si="3"/>
        <v>-0.79000000000007731</v>
      </c>
      <c r="AH8">
        <f t="shared" si="4"/>
        <v>1.7900000000000773</v>
      </c>
      <c r="AI8" s="20">
        <f t="shared" si="5"/>
        <v>-1.6000000000000014</v>
      </c>
    </row>
    <row r="9" spans="1:35" x14ac:dyDescent="0.3">
      <c r="C9">
        <v>695</v>
      </c>
      <c r="D9">
        <v>410</v>
      </c>
      <c r="F9">
        <v>72.319999999999993</v>
      </c>
      <c r="G9">
        <v>50.46</v>
      </c>
      <c r="H9">
        <v>759</v>
      </c>
      <c r="J9">
        <v>69.67</v>
      </c>
      <c r="K9">
        <v>48.62</v>
      </c>
      <c r="L9">
        <v>731.24</v>
      </c>
      <c r="N9">
        <v>71</v>
      </c>
      <c r="O9">
        <v>52</v>
      </c>
      <c r="P9">
        <v>759</v>
      </c>
      <c r="R9">
        <v>69.260000000000005</v>
      </c>
      <c r="S9">
        <v>49.03</v>
      </c>
      <c r="T9">
        <v>732.16</v>
      </c>
      <c r="U9" s="26"/>
      <c r="V9" s="26">
        <v>-48.06</v>
      </c>
      <c r="W9" s="26">
        <v>706.25</v>
      </c>
      <c r="X9" s="26">
        <v>49.65</v>
      </c>
      <c r="Y9">
        <f t="shared" si="6"/>
        <v>-26.840000000000032</v>
      </c>
      <c r="AA9">
        <v>-48.47</v>
      </c>
      <c r="AB9">
        <v>706.43</v>
      </c>
      <c r="AC9">
        <v>50.64</v>
      </c>
      <c r="AD9">
        <f t="shared" si="0"/>
        <v>-0.40999999999999659</v>
      </c>
      <c r="AE9" s="6">
        <f t="shared" si="1"/>
        <v>0.40999999999999659</v>
      </c>
      <c r="AF9">
        <f t="shared" si="2"/>
        <v>0.41000000000000369</v>
      </c>
      <c r="AG9" s="3">
        <f t="shared" si="3"/>
        <v>-0.17999999999994998</v>
      </c>
      <c r="AH9">
        <f t="shared" si="4"/>
        <v>0.91999999999995907</v>
      </c>
      <c r="AI9" s="20">
        <f t="shared" si="5"/>
        <v>-0.99000000000000199</v>
      </c>
    </row>
    <row r="10" spans="1:35" x14ac:dyDescent="0.3">
      <c r="C10">
        <v>778</v>
      </c>
      <c r="D10">
        <v>410</v>
      </c>
      <c r="F10">
        <v>173.93</v>
      </c>
      <c r="G10">
        <v>50.33</v>
      </c>
      <c r="H10">
        <v>757</v>
      </c>
      <c r="J10">
        <v>167.69</v>
      </c>
      <c r="K10">
        <v>48.52</v>
      </c>
      <c r="L10">
        <v>729.85</v>
      </c>
      <c r="N10">
        <v>174</v>
      </c>
      <c r="O10">
        <v>52</v>
      </c>
      <c r="P10">
        <v>757</v>
      </c>
      <c r="R10">
        <v>166.6</v>
      </c>
      <c r="S10">
        <v>50.23</v>
      </c>
      <c r="T10">
        <v>731.13</v>
      </c>
      <c r="U10" s="26"/>
      <c r="V10" s="26">
        <v>-145.41</v>
      </c>
      <c r="W10" s="26">
        <v>705.73</v>
      </c>
      <c r="X10" s="26">
        <v>49.8</v>
      </c>
      <c r="Y10">
        <f t="shared" si="6"/>
        <v>-25.870000000000005</v>
      </c>
      <c r="AA10">
        <v>-146.47999999999999</v>
      </c>
      <c r="AB10">
        <v>705.05</v>
      </c>
      <c r="AC10">
        <v>51.82</v>
      </c>
      <c r="AD10">
        <f t="shared" si="0"/>
        <v>-1.0900000000000034</v>
      </c>
      <c r="AE10" s="6">
        <f t="shared" si="1"/>
        <v>1.0699999999999932</v>
      </c>
      <c r="AF10">
        <f t="shared" si="2"/>
        <v>1.7099999999999937</v>
      </c>
      <c r="AG10" s="3">
        <f t="shared" si="3"/>
        <v>0.68000000000006366</v>
      </c>
      <c r="AH10">
        <f t="shared" si="4"/>
        <v>1.2799999999999727</v>
      </c>
      <c r="AI10" s="20">
        <f t="shared" si="5"/>
        <v>-2.0200000000000031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Y3" sqref="Y3:Y10"/>
    </sheetView>
  </sheetViews>
  <sheetFormatPr baseColWidth="10" defaultColWidth="8.88671875" defaultRowHeight="14.4" x14ac:dyDescent="0.3"/>
  <cols>
    <col min="1" max="1" width="13.33203125" customWidth="1"/>
    <col min="5" max="5" width="14" customWidth="1"/>
    <col min="9" max="9" width="21.5546875" customWidth="1"/>
    <col min="17" max="17" width="17.6640625" customWidth="1"/>
    <col min="21" max="21" width="13.33203125" customWidth="1"/>
    <col min="25" max="25" width="23.109375" customWidth="1"/>
    <col min="29" max="29" width="13.33203125" customWidth="1"/>
    <col min="30" max="30" width="12.88671875" customWidth="1"/>
    <col min="31" max="31" width="12.5546875" customWidth="1"/>
    <col min="32" max="32" width="12" customWidth="1"/>
    <col min="33" max="33" width="12.44140625" customWidth="1"/>
    <col min="34" max="34" width="11.44140625" customWidth="1"/>
  </cols>
  <sheetData>
    <row r="1" spans="1:35" x14ac:dyDescent="0.3">
      <c r="A1" s="25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s="26" t="s">
        <v>18</v>
      </c>
      <c r="V2" s="26" t="s">
        <v>1</v>
      </c>
      <c r="W2" s="26" t="s">
        <v>2</v>
      </c>
      <c r="X2" s="26" t="s">
        <v>3</v>
      </c>
      <c r="Y2" s="26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535</v>
      </c>
      <c r="D3">
        <v>342</v>
      </c>
      <c r="F3">
        <v>-132.96</v>
      </c>
      <c r="G3">
        <v>-35.799999999999997</v>
      </c>
      <c r="H3">
        <v>811</v>
      </c>
      <c r="J3">
        <v>-129.63</v>
      </c>
      <c r="K3">
        <v>-34.9</v>
      </c>
      <c r="L3">
        <v>790.68</v>
      </c>
      <c r="N3">
        <v>-136</v>
      </c>
      <c r="O3">
        <v>-34</v>
      </c>
      <c r="P3">
        <v>811</v>
      </c>
      <c r="R3">
        <v>-130.07</v>
      </c>
      <c r="S3">
        <v>-34.130000000000003</v>
      </c>
      <c r="T3">
        <v>790.81</v>
      </c>
      <c r="U3" s="26"/>
      <c r="V3" s="26">
        <v>153.41999999999999</v>
      </c>
      <c r="W3" s="26">
        <v>608.79</v>
      </c>
      <c r="X3" s="26">
        <v>49.88</v>
      </c>
      <c r="Y3">
        <f>T3-H3</f>
        <v>-20.190000000000055</v>
      </c>
      <c r="AA3">
        <v>152.99</v>
      </c>
      <c r="AB3">
        <v>608.22</v>
      </c>
      <c r="AC3">
        <v>50.43</v>
      </c>
      <c r="AD3">
        <f t="shared" ref="AD3:AD10" si="0">R3-J3</f>
        <v>-0.43999999999999773</v>
      </c>
      <c r="AE3" s="6">
        <f t="shared" ref="AE3:AE10" si="1">V3-AA3</f>
        <v>0.4299999999999784</v>
      </c>
      <c r="AF3">
        <f t="shared" ref="AF3:AF10" si="2">S3-K3</f>
        <v>0.76999999999999602</v>
      </c>
      <c r="AG3" s="3">
        <f t="shared" ref="AG3:AG10" si="3">W3-AB3</f>
        <v>0.56999999999993634</v>
      </c>
      <c r="AH3">
        <f t="shared" ref="AH3:AH10" si="4">T3-L3</f>
        <v>0.12999999999999545</v>
      </c>
      <c r="AI3" s="20">
        <f t="shared" ref="AI3:AI10" si="5">X3-AC3</f>
        <v>-0.54999999999999716</v>
      </c>
    </row>
    <row r="4" spans="1:35" x14ac:dyDescent="0.3">
      <c r="C4">
        <v>612</v>
      </c>
      <c r="D4">
        <v>344</v>
      </c>
      <c r="F4">
        <v>-31.74</v>
      </c>
      <c r="G4">
        <v>-33.119999999999997</v>
      </c>
      <c r="H4">
        <v>810</v>
      </c>
      <c r="J4">
        <v>-30.95</v>
      </c>
      <c r="K4">
        <v>-32.29</v>
      </c>
      <c r="L4">
        <v>789.81</v>
      </c>
      <c r="N4">
        <v>-34</v>
      </c>
      <c r="O4">
        <v>-32</v>
      </c>
      <c r="P4">
        <v>810</v>
      </c>
      <c r="R4">
        <v>-30.89</v>
      </c>
      <c r="S4">
        <v>-32.44</v>
      </c>
      <c r="T4">
        <v>789.46</v>
      </c>
      <c r="U4" s="26"/>
      <c r="V4" s="26">
        <v>54.22</v>
      </c>
      <c r="W4" s="26">
        <v>608.82000000000005</v>
      </c>
      <c r="X4" s="26">
        <v>50</v>
      </c>
      <c r="Y4">
        <f t="shared" ref="Y4:Y10" si="6">T4-H4</f>
        <v>-20.539999999999964</v>
      </c>
      <c r="AA4">
        <v>54.28</v>
      </c>
      <c r="AB4">
        <v>608.73</v>
      </c>
      <c r="AC4">
        <v>49.62</v>
      </c>
      <c r="AD4">
        <f t="shared" si="0"/>
        <v>5.9999999999998721E-2</v>
      </c>
      <c r="AE4" s="6">
        <f t="shared" si="1"/>
        <v>-6.0000000000002274E-2</v>
      </c>
      <c r="AF4">
        <f t="shared" si="2"/>
        <v>-0.14999999999999858</v>
      </c>
      <c r="AG4" s="3">
        <f t="shared" si="3"/>
        <v>9.0000000000031832E-2</v>
      </c>
      <c r="AH4">
        <f t="shared" si="4"/>
        <v>-0.34999999999990905</v>
      </c>
      <c r="AI4" s="20">
        <f t="shared" si="5"/>
        <v>0.38000000000000256</v>
      </c>
    </row>
    <row r="5" spans="1:35" x14ac:dyDescent="0.3">
      <c r="C5">
        <v>692</v>
      </c>
      <c r="D5">
        <v>343</v>
      </c>
      <c r="F5">
        <v>73.06</v>
      </c>
      <c r="G5">
        <v>-34.35</v>
      </c>
      <c r="H5">
        <v>808</v>
      </c>
      <c r="J5">
        <v>71.33</v>
      </c>
      <c r="K5">
        <v>-33.53</v>
      </c>
      <c r="L5">
        <v>788.86</v>
      </c>
      <c r="N5">
        <v>72</v>
      </c>
      <c r="O5">
        <v>-33</v>
      </c>
      <c r="P5">
        <v>808</v>
      </c>
      <c r="R5">
        <v>70.75</v>
      </c>
      <c r="S5">
        <v>-30.67</v>
      </c>
      <c r="T5">
        <v>788.11</v>
      </c>
      <c r="U5" s="26"/>
      <c r="V5" s="26">
        <v>-47.45</v>
      </c>
      <c r="W5" s="26">
        <v>608.85</v>
      </c>
      <c r="X5" s="26">
        <v>50.07</v>
      </c>
      <c r="Y5">
        <f t="shared" si="6"/>
        <v>-19.889999999999986</v>
      </c>
      <c r="AA5">
        <v>-47.97</v>
      </c>
      <c r="AB5">
        <v>606.07000000000005</v>
      </c>
      <c r="AC5">
        <v>51.11</v>
      </c>
      <c r="AD5">
        <f t="shared" si="0"/>
        <v>-0.57999999999999829</v>
      </c>
      <c r="AE5" s="6">
        <f t="shared" si="1"/>
        <v>0.51999999999999602</v>
      </c>
      <c r="AF5">
        <f t="shared" si="2"/>
        <v>2.8599999999999994</v>
      </c>
      <c r="AG5" s="3">
        <f t="shared" si="3"/>
        <v>2.7799999999999727</v>
      </c>
      <c r="AH5">
        <f t="shared" si="4"/>
        <v>-0.75</v>
      </c>
      <c r="AI5" s="20">
        <f t="shared" si="5"/>
        <v>-1.0399999999999991</v>
      </c>
    </row>
    <row r="6" spans="1:35" x14ac:dyDescent="0.3">
      <c r="C6">
        <v>768</v>
      </c>
      <c r="D6">
        <v>343</v>
      </c>
      <c r="F6">
        <v>172.13</v>
      </c>
      <c r="G6">
        <v>-34.26</v>
      </c>
      <c r="H6">
        <v>806</v>
      </c>
      <c r="J6">
        <v>167.91</v>
      </c>
      <c r="K6">
        <v>-33.42</v>
      </c>
      <c r="L6">
        <v>786.23</v>
      </c>
      <c r="N6">
        <v>172</v>
      </c>
      <c r="O6">
        <v>-33</v>
      </c>
      <c r="P6">
        <v>806</v>
      </c>
      <c r="R6">
        <v>168.56</v>
      </c>
      <c r="S6">
        <v>-29.08</v>
      </c>
      <c r="T6">
        <v>785.7</v>
      </c>
      <c r="U6" s="26"/>
      <c r="V6" s="26">
        <v>-145.30000000000001</v>
      </c>
      <c r="W6" s="26">
        <v>609.44000000000005</v>
      </c>
      <c r="X6" s="26">
        <v>51.11</v>
      </c>
      <c r="Y6">
        <f t="shared" si="6"/>
        <v>-20.299999999999955</v>
      </c>
      <c r="AA6">
        <v>-144.56</v>
      </c>
      <c r="AB6">
        <v>605.6</v>
      </c>
      <c r="AC6">
        <v>53.18</v>
      </c>
      <c r="AD6">
        <f t="shared" si="0"/>
        <v>0.65000000000000568</v>
      </c>
      <c r="AE6" s="6">
        <f t="shared" si="1"/>
        <v>-0.74000000000000909</v>
      </c>
      <c r="AF6">
        <f t="shared" si="2"/>
        <v>4.3400000000000034</v>
      </c>
      <c r="AG6" s="3">
        <f t="shared" si="3"/>
        <v>3.8400000000000318</v>
      </c>
      <c r="AH6">
        <f t="shared" si="4"/>
        <v>-0.52999999999997272</v>
      </c>
      <c r="AI6" s="20">
        <f t="shared" si="5"/>
        <v>-2.0700000000000003</v>
      </c>
    </row>
    <row r="7" spans="1:35" x14ac:dyDescent="0.3">
      <c r="C7">
        <v>527</v>
      </c>
      <c r="D7">
        <v>408</v>
      </c>
      <c r="F7">
        <v>-133.57</v>
      </c>
      <c r="G7">
        <v>47.74</v>
      </c>
      <c r="H7">
        <v>755</v>
      </c>
      <c r="J7">
        <v>-129.96</v>
      </c>
      <c r="K7">
        <v>46.45</v>
      </c>
      <c r="L7">
        <v>734.61</v>
      </c>
      <c r="N7">
        <v>-137</v>
      </c>
      <c r="O7">
        <v>50</v>
      </c>
      <c r="P7">
        <v>755</v>
      </c>
      <c r="R7">
        <v>-131.18</v>
      </c>
      <c r="S7">
        <v>45.65</v>
      </c>
      <c r="T7">
        <v>735.12</v>
      </c>
      <c r="U7" s="26"/>
      <c r="V7" s="26">
        <v>152.44</v>
      </c>
      <c r="W7" s="26">
        <v>706.09</v>
      </c>
      <c r="X7" s="26">
        <v>49.21</v>
      </c>
      <c r="Y7">
        <f t="shared" si="6"/>
        <v>-19.879999999999995</v>
      </c>
      <c r="AA7">
        <v>151.19999999999999</v>
      </c>
      <c r="AB7">
        <v>707</v>
      </c>
      <c r="AC7">
        <v>49.15</v>
      </c>
      <c r="AD7">
        <f t="shared" si="0"/>
        <v>-1.2199999999999989</v>
      </c>
      <c r="AE7" s="6">
        <f t="shared" si="1"/>
        <v>1.2400000000000091</v>
      </c>
      <c r="AF7">
        <f t="shared" si="2"/>
        <v>-0.80000000000000426</v>
      </c>
      <c r="AG7" s="3">
        <f t="shared" si="3"/>
        <v>-0.90999999999996817</v>
      </c>
      <c r="AH7">
        <f t="shared" si="4"/>
        <v>0.50999999999999091</v>
      </c>
      <c r="AI7" s="20">
        <f t="shared" si="5"/>
        <v>6.0000000000002274E-2</v>
      </c>
    </row>
    <row r="8" spans="1:35" x14ac:dyDescent="0.3">
      <c r="C8">
        <v>610</v>
      </c>
      <c r="D8">
        <v>409</v>
      </c>
      <c r="F8">
        <v>-32.03</v>
      </c>
      <c r="G8">
        <v>48.97</v>
      </c>
      <c r="H8">
        <v>755</v>
      </c>
      <c r="J8">
        <v>-31.19</v>
      </c>
      <c r="K8">
        <v>47.67</v>
      </c>
      <c r="L8">
        <v>735.05</v>
      </c>
      <c r="N8">
        <v>-34</v>
      </c>
      <c r="O8">
        <v>51</v>
      </c>
      <c r="P8">
        <v>755</v>
      </c>
      <c r="R8">
        <v>-32.64</v>
      </c>
      <c r="S8">
        <v>46.71</v>
      </c>
      <c r="T8">
        <v>734.2</v>
      </c>
      <c r="U8" s="26"/>
      <c r="V8" s="26">
        <v>53.9</v>
      </c>
      <c r="W8" s="26">
        <v>705.37</v>
      </c>
      <c r="X8" s="26">
        <v>49.34</v>
      </c>
      <c r="Y8">
        <f t="shared" si="6"/>
        <v>-20.799999999999955</v>
      </c>
      <c r="AA8">
        <v>52.43</v>
      </c>
      <c r="AB8">
        <v>705.63</v>
      </c>
      <c r="AC8">
        <v>48.08</v>
      </c>
      <c r="AD8">
        <f t="shared" si="0"/>
        <v>-1.4499999999999993</v>
      </c>
      <c r="AE8" s="6">
        <f t="shared" si="1"/>
        <v>1.4699999999999989</v>
      </c>
      <c r="AF8">
        <f t="shared" si="2"/>
        <v>-0.96000000000000085</v>
      </c>
      <c r="AG8" s="3">
        <f t="shared" si="3"/>
        <v>-0.25999999999999091</v>
      </c>
      <c r="AH8">
        <f t="shared" si="4"/>
        <v>-0.84999999999990905</v>
      </c>
      <c r="AI8" s="20">
        <f t="shared" si="5"/>
        <v>1.2600000000000051</v>
      </c>
    </row>
    <row r="9" spans="1:35" x14ac:dyDescent="0.3">
      <c r="C9">
        <v>695</v>
      </c>
      <c r="D9">
        <v>410</v>
      </c>
      <c r="F9">
        <v>71.650000000000006</v>
      </c>
      <c r="G9">
        <v>50</v>
      </c>
      <c r="H9">
        <v>752</v>
      </c>
      <c r="J9">
        <v>69.89</v>
      </c>
      <c r="K9">
        <v>48.77</v>
      </c>
      <c r="L9">
        <v>733.49</v>
      </c>
      <c r="N9">
        <v>71</v>
      </c>
      <c r="O9">
        <v>52</v>
      </c>
      <c r="P9">
        <v>752</v>
      </c>
      <c r="R9">
        <v>69.03</v>
      </c>
      <c r="S9">
        <v>49.36</v>
      </c>
      <c r="T9">
        <v>731.78</v>
      </c>
      <c r="U9" s="26"/>
      <c r="V9" s="26">
        <v>-47.84</v>
      </c>
      <c r="W9" s="26">
        <v>706.74</v>
      </c>
      <c r="X9" s="26">
        <v>49.77</v>
      </c>
      <c r="Y9">
        <f t="shared" si="6"/>
        <v>-20.220000000000027</v>
      </c>
      <c r="AA9">
        <v>-48.66</v>
      </c>
      <c r="AB9">
        <v>705.25</v>
      </c>
      <c r="AC9">
        <v>48.72</v>
      </c>
      <c r="AD9">
        <f t="shared" si="0"/>
        <v>-0.85999999999999943</v>
      </c>
      <c r="AE9" s="6">
        <f t="shared" si="1"/>
        <v>0.81999999999999318</v>
      </c>
      <c r="AF9">
        <f t="shared" si="2"/>
        <v>0.58999999999999631</v>
      </c>
      <c r="AG9" s="3">
        <f t="shared" si="3"/>
        <v>1.4900000000000091</v>
      </c>
      <c r="AH9">
        <f t="shared" si="4"/>
        <v>-1.7100000000000364</v>
      </c>
      <c r="AI9" s="20">
        <f t="shared" si="5"/>
        <v>1.0500000000000043</v>
      </c>
    </row>
    <row r="10" spans="1:35" x14ac:dyDescent="0.3">
      <c r="C10">
        <v>778</v>
      </c>
      <c r="D10">
        <v>410</v>
      </c>
      <c r="F10">
        <v>172.78</v>
      </c>
      <c r="G10">
        <v>50</v>
      </c>
      <c r="H10">
        <v>752</v>
      </c>
      <c r="J10">
        <v>168.37</v>
      </c>
      <c r="K10">
        <v>48.72</v>
      </c>
      <c r="L10">
        <v>732.8</v>
      </c>
      <c r="N10">
        <v>172</v>
      </c>
      <c r="O10">
        <v>52</v>
      </c>
      <c r="P10">
        <v>752</v>
      </c>
      <c r="R10">
        <v>166.52</v>
      </c>
      <c r="S10">
        <v>50.22</v>
      </c>
      <c r="T10">
        <v>730.66</v>
      </c>
      <c r="U10" s="26"/>
      <c r="V10" s="26">
        <v>-145.33000000000001</v>
      </c>
      <c r="W10" s="26">
        <v>706</v>
      </c>
      <c r="X10" s="26">
        <v>50.18</v>
      </c>
      <c r="Y10">
        <f t="shared" si="6"/>
        <v>-21.340000000000032</v>
      </c>
      <c r="AA10">
        <v>-147.12</v>
      </c>
      <c r="AB10">
        <v>703.49</v>
      </c>
      <c r="AC10">
        <v>49.3</v>
      </c>
      <c r="AD10">
        <f t="shared" si="0"/>
        <v>-1.8499999999999943</v>
      </c>
      <c r="AE10" s="6">
        <f t="shared" si="1"/>
        <v>1.789999999999992</v>
      </c>
      <c r="AF10">
        <f t="shared" si="2"/>
        <v>1.5</v>
      </c>
      <c r="AG10" s="3">
        <f t="shared" si="3"/>
        <v>2.5099999999999909</v>
      </c>
      <c r="AH10">
        <f t="shared" si="4"/>
        <v>-2.1399999999999864</v>
      </c>
      <c r="AI10" s="20">
        <f t="shared" si="5"/>
        <v>0.88000000000000256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zoomScale="80" zoomScaleNormal="80" workbookViewId="0">
      <selection activeCell="Y3" sqref="Y3:Y10"/>
    </sheetView>
  </sheetViews>
  <sheetFormatPr baseColWidth="10" defaultColWidth="8.88671875" defaultRowHeight="14.4" x14ac:dyDescent="0.3"/>
  <cols>
    <col min="1" max="1" width="12" customWidth="1"/>
    <col min="5" max="5" width="14.33203125" customWidth="1"/>
    <col min="9" max="9" width="21.88671875" customWidth="1"/>
    <col min="13" max="13" width="10" customWidth="1"/>
    <col min="17" max="17" width="18.88671875" customWidth="1"/>
    <col min="21" max="21" width="14.5546875" customWidth="1"/>
    <col min="25" max="25" width="22.5546875" customWidth="1"/>
    <col min="29" max="29" width="12.5546875" customWidth="1"/>
    <col min="30" max="30" width="11.6640625" customWidth="1"/>
    <col min="31" max="31" width="12.88671875" customWidth="1"/>
    <col min="32" max="32" width="11.88671875" customWidth="1"/>
    <col min="33" max="33" width="13.109375" customWidth="1"/>
    <col min="34" max="34" width="12.5546875" customWidth="1"/>
  </cols>
  <sheetData>
    <row r="1" spans="1:35" x14ac:dyDescent="0.3">
      <c r="A1" s="23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s="26" t="s">
        <v>18</v>
      </c>
      <c r="V2" s="26" t="s">
        <v>1</v>
      </c>
      <c r="W2" s="26" t="s">
        <v>2</v>
      </c>
      <c r="X2" s="26" t="s">
        <v>3</v>
      </c>
      <c r="Y2" s="26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535</v>
      </c>
      <c r="D3">
        <v>342</v>
      </c>
      <c r="F3">
        <v>-133.44999999999999</v>
      </c>
      <c r="G3">
        <v>-35.93</v>
      </c>
      <c r="H3">
        <v>814</v>
      </c>
      <c r="J3">
        <v>-129.87</v>
      </c>
      <c r="K3">
        <v>-34.96</v>
      </c>
      <c r="L3">
        <v>792.16</v>
      </c>
      <c r="N3">
        <v>-137</v>
      </c>
      <c r="O3">
        <v>-34</v>
      </c>
      <c r="P3">
        <v>814</v>
      </c>
      <c r="R3">
        <v>-129.77000000000001</v>
      </c>
      <c r="S3">
        <v>-34.22</v>
      </c>
      <c r="T3">
        <v>791.19</v>
      </c>
      <c r="U3" s="26"/>
      <c r="V3" s="26">
        <v>153.13</v>
      </c>
      <c r="W3" s="26">
        <v>608.49</v>
      </c>
      <c r="X3" s="26">
        <v>49.62</v>
      </c>
      <c r="Y3">
        <f>T3-H3</f>
        <v>-22.809999999999945</v>
      </c>
      <c r="AA3">
        <v>153.25</v>
      </c>
      <c r="AB3">
        <v>607.32000000000005</v>
      </c>
      <c r="AC3">
        <v>49.26</v>
      </c>
      <c r="AD3">
        <f t="shared" ref="AD3:AD10" si="0">R3-J3</f>
        <v>9.9999999999994316E-2</v>
      </c>
      <c r="AE3" s="6">
        <f t="shared" ref="AE3:AE10" si="1">V3-AA3</f>
        <v>-0.12000000000000455</v>
      </c>
      <c r="AF3">
        <f t="shared" ref="AF3:AF10" si="2">S3-K3</f>
        <v>0.74000000000000199</v>
      </c>
      <c r="AG3" s="3">
        <f t="shared" ref="AG3:AG10" si="3">W3-AB3</f>
        <v>1.1699999999999591</v>
      </c>
      <c r="AH3">
        <f t="shared" ref="AH3:AH10" si="4">T3-L3</f>
        <v>-0.9699999999999136</v>
      </c>
      <c r="AI3" s="20">
        <f t="shared" ref="AI3:AI10" si="5">X3-AC3</f>
        <v>0.35999999999999943</v>
      </c>
    </row>
    <row r="4" spans="1:35" x14ac:dyDescent="0.3">
      <c r="C4">
        <v>612</v>
      </c>
      <c r="D4">
        <v>344</v>
      </c>
      <c r="F4">
        <v>-31.86</v>
      </c>
      <c r="G4">
        <v>-33.24</v>
      </c>
      <c r="H4">
        <v>813</v>
      </c>
      <c r="J4">
        <v>-30.89</v>
      </c>
      <c r="K4">
        <v>-32.229999999999997</v>
      </c>
      <c r="L4">
        <v>788.36</v>
      </c>
      <c r="N4">
        <v>-34</v>
      </c>
      <c r="O4">
        <v>-32</v>
      </c>
      <c r="P4">
        <v>813</v>
      </c>
      <c r="R4">
        <v>-31.66</v>
      </c>
      <c r="S4">
        <v>-32.36</v>
      </c>
      <c r="T4">
        <v>789.52</v>
      </c>
      <c r="U4" s="26"/>
      <c r="V4" s="26">
        <v>54.99</v>
      </c>
      <c r="W4" s="26">
        <v>608.86</v>
      </c>
      <c r="X4" s="26">
        <v>49.9</v>
      </c>
      <c r="Y4">
        <f t="shared" ref="Y4:Y10" si="6">T4-H4</f>
        <v>-23.480000000000018</v>
      </c>
      <c r="AA4">
        <v>54.2</v>
      </c>
      <c r="AB4">
        <v>609.62</v>
      </c>
      <c r="AC4">
        <v>50.77</v>
      </c>
      <c r="AD4">
        <f t="shared" si="0"/>
        <v>-0.76999999999999957</v>
      </c>
      <c r="AE4" s="6">
        <f t="shared" si="1"/>
        <v>0.78999999999999915</v>
      </c>
      <c r="AF4">
        <f t="shared" si="2"/>
        <v>-0.13000000000000256</v>
      </c>
      <c r="AG4" s="3">
        <f t="shared" si="3"/>
        <v>-0.75999999999999091</v>
      </c>
      <c r="AH4">
        <f t="shared" si="4"/>
        <v>1.1599999999999682</v>
      </c>
      <c r="AI4" s="20">
        <f t="shared" si="5"/>
        <v>-0.87000000000000455</v>
      </c>
    </row>
    <row r="5" spans="1:35" x14ac:dyDescent="0.3">
      <c r="C5">
        <v>692</v>
      </c>
      <c r="D5">
        <v>343</v>
      </c>
      <c r="F5">
        <v>73.42</v>
      </c>
      <c r="G5">
        <v>-34.520000000000003</v>
      </c>
      <c r="H5">
        <v>812</v>
      </c>
      <c r="J5">
        <v>71.2</v>
      </c>
      <c r="K5">
        <v>-33.47</v>
      </c>
      <c r="L5">
        <v>787.42</v>
      </c>
      <c r="N5">
        <v>73</v>
      </c>
      <c r="O5">
        <v>-33</v>
      </c>
      <c r="P5">
        <v>812</v>
      </c>
      <c r="R5">
        <v>69.900000000000006</v>
      </c>
      <c r="S5">
        <v>-31.08</v>
      </c>
      <c r="T5">
        <v>788.6</v>
      </c>
      <c r="U5" s="26"/>
      <c r="V5" s="26">
        <v>-46.59</v>
      </c>
      <c r="W5" s="26">
        <v>608.26</v>
      </c>
      <c r="X5" s="26">
        <v>49.91</v>
      </c>
      <c r="Y5">
        <f t="shared" si="6"/>
        <v>-23.399999999999977</v>
      </c>
      <c r="AA5">
        <v>-47.86</v>
      </c>
      <c r="AB5">
        <v>606.95000000000005</v>
      </c>
      <c r="AC5">
        <v>52.25</v>
      </c>
      <c r="AD5">
        <f t="shared" si="0"/>
        <v>-1.2999999999999972</v>
      </c>
      <c r="AE5" s="6">
        <f t="shared" si="1"/>
        <v>1.269999999999996</v>
      </c>
      <c r="AF5">
        <f t="shared" si="2"/>
        <v>2.3900000000000006</v>
      </c>
      <c r="AG5" s="3">
        <f t="shared" si="3"/>
        <v>1.3099999999999454</v>
      </c>
      <c r="AH5">
        <f t="shared" si="4"/>
        <v>1.1800000000000637</v>
      </c>
      <c r="AI5" s="20">
        <f t="shared" si="5"/>
        <v>-2.3400000000000034</v>
      </c>
    </row>
    <row r="6" spans="1:35" x14ac:dyDescent="0.3">
      <c r="C6">
        <v>768</v>
      </c>
      <c r="D6">
        <v>343</v>
      </c>
      <c r="F6">
        <v>172.98</v>
      </c>
      <c r="G6">
        <v>-34.43</v>
      </c>
      <c r="H6">
        <v>810</v>
      </c>
      <c r="J6">
        <v>167.95</v>
      </c>
      <c r="K6">
        <v>-33.43</v>
      </c>
      <c r="L6">
        <v>786.41</v>
      </c>
      <c r="N6">
        <v>173</v>
      </c>
      <c r="O6">
        <v>-33</v>
      </c>
      <c r="P6">
        <v>810</v>
      </c>
      <c r="R6">
        <v>167.84</v>
      </c>
      <c r="S6">
        <v>-29.45</v>
      </c>
      <c r="T6">
        <v>786.72</v>
      </c>
      <c r="U6" s="26"/>
      <c r="V6" s="26">
        <v>-144.56</v>
      </c>
      <c r="W6" s="26">
        <v>608.57000000000005</v>
      </c>
      <c r="X6" s="26">
        <v>50.49</v>
      </c>
      <c r="Y6">
        <f t="shared" si="6"/>
        <v>-23.279999999999973</v>
      </c>
      <c r="AA6">
        <v>-144.59</v>
      </c>
      <c r="AB6">
        <v>605.49</v>
      </c>
      <c r="AC6">
        <v>53.04</v>
      </c>
      <c r="AD6">
        <f t="shared" si="0"/>
        <v>-0.10999999999998522</v>
      </c>
      <c r="AE6" s="6">
        <f t="shared" si="1"/>
        <v>3.0000000000001137E-2</v>
      </c>
      <c r="AF6">
        <f t="shared" si="2"/>
        <v>3.9800000000000004</v>
      </c>
      <c r="AG6" s="3">
        <f t="shared" si="3"/>
        <v>3.0800000000000409</v>
      </c>
      <c r="AH6">
        <f t="shared" si="4"/>
        <v>0.31000000000005912</v>
      </c>
      <c r="AI6" s="20">
        <f t="shared" si="5"/>
        <v>-2.5499999999999972</v>
      </c>
    </row>
    <row r="7" spans="1:35" x14ac:dyDescent="0.3">
      <c r="C7">
        <v>527</v>
      </c>
      <c r="D7">
        <v>408</v>
      </c>
      <c r="F7">
        <v>-134.27000000000001</v>
      </c>
      <c r="G7">
        <v>47.99</v>
      </c>
      <c r="H7">
        <v>759</v>
      </c>
      <c r="J7">
        <v>-130.02000000000001</v>
      </c>
      <c r="K7">
        <v>46.47</v>
      </c>
      <c r="L7">
        <v>734.95</v>
      </c>
      <c r="N7">
        <v>-137</v>
      </c>
      <c r="O7">
        <v>50</v>
      </c>
      <c r="P7">
        <v>759</v>
      </c>
      <c r="R7">
        <v>-130.83000000000001</v>
      </c>
      <c r="S7">
        <v>45.48</v>
      </c>
      <c r="T7">
        <v>735.11</v>
      </c>
      <c r="U7" s="26"/>
      <c r="V7" s="26">
        <v>152.09</v>
      </c>
      <c r="W7" s="26">
        <v>705.95</v>
      </c>
      <c r="X7" s="26">
        <v>49.31</v>
      </c>
      <c r="Y7">
        <f t="shared" si="6"/>
        <v>-23.889999999999986</v>
      </c>
      <c r="AA7">
        <v>151.26</v>
      </c>
      <c r="AB7">
        <v>706.83</v>
      </c>
      <c r="AC7">
        <v>48.87</v>
      </c>
      <c r="AD7">
        <f t="shared" si="0"/>
        <v>-0.81000000000000227</v>
      </c>
      <c r="AE7" s="6">
        <f t="shared" si="1"/>
        <v>0.83000000000001251</v>
      </c>
      <c r="AF7">
        <f t="shared" si="2"/>
        <v>-0.99000000000000199</v>
      </c>
      <c r="AG7" s="3">
        <f t="shared" si="3"/>
        <v>-0.87999999999999545</v>
      </c>
      <c r="AH7">
        <f t="shared" si="4"/>
        <v>0.15999999999996817</v>
      </c>
      <c r="AI7" s="20">
        <f t="shared" si="5"/>
        <v>0.44000000000000483</v>
      </c>
    </row>
    <row r="8" spans="1:35" x14ac:dyDescent="0.3">
      <c r="C8">
        <v>610</v>
      </c>
      <c r="D8">
        <v>409</v>
      </c>
      <c r="F8">
        <v>-32.119999999999997</v>
      </c>
      <c r="G8">
        <v>49.1</v>
      </c>
      <c r="H8">
        <v>757</v>
      </c>
      <c r="J8">
        <v>-31.09</v>
      </c>
      <c r="K8">
        <v>47.53</v>
      </c>
      <c r="L8">
        <v>732.82</v>
      </c>
      <c r="N8">
        <v>-34</v>
      </c>
      <c r="O8">
        <v>51</v>
      </c>
      <c r="P8">
        <v>757</v>
      </c>
      <c r="R8">
        <v>-33.03</v>
      </c>
      <c r="S8">
        <v>47.11</v>
      </c>
      <c r="T8">
        <v>733.89</v>
      </c>
      <c r="U8" s="26"/>
      <c r="V8" s="26">
        <v>54.27</v>
      </c>
      <c r="W8" s="26">
        <v>705.88</v>
      </c>
      <c r="X8" s="26">
        <v>49.36</v>
      </c>
      <c r="Y8">
        <f t="shared" si="6"/>
        <v>-23.110000000000014</v>
      </c>
      <c r="AA8">
        <v>52.31</v>
      </c>
      <c r="AB8">
        <v>706.8</v>
      </c>
      <c r="AC8">
        <v>49.98</v>
      </c>
      <c r="AD8">
        <f t="shared" si="0"/>
        <v>-1.9400000000000013</v>
      </c>
      <c r="AE8" s="6">
        <f t="shared" si="1"/>
        <v>1.9600000000000009</v>
      </c>
      <c r="AF8">
        <f t="shared" si="2"/>
        <v>-0.42000000000000171</v>
      </c>
      <c r="AG8" s="3">
        <f t="shared" si="3"/>
        <v>-0.91999999999995907</v>
      </c>
      <c r="AH8">
        <f t="shared" si="4"/>
        <v>1.0699999999999363</v>
      </c>
      <c r="AI8" s="20">
        <f t="shared" si="5"/>
        <v>-0.61999999999999744</v>
      </c>
    </row>
    <row r="9" spans="1:35" x14ac:dyDescent="0.3">
      <c r="C9">
        <v>695</v>
      </c>
      <c r="D9">
        <v>410</v>
      </c>
      <c r="F9">
        <v>72.03</v>
      </c>
      <c r="G9">
        <v>50.26</v>
      </c>
      <c r="H9">
        <v>756</v>
      </c>
      <c r="J9">
        <v>69.75</v>
      </c>
      <c r="K9">
        <v>48.67</v>
      </c>
      <c r="L9">
        <v>732.04</v>
      </c>
      <c r="N9">
        <v>71</v>
      </c>
      <c r="O9">
        <v>52</v>
      </c>
      <c r="P9">
        <v>756</v>
      </c>
      <c r="R9">
        <v>69.13</v>
      </c>
      <c r="S9">
        <v>49.02</v>
      </c>
      <c r="T9">
        <v>732.06</v>
      </c>
      <c r="U9" s="26"/>
      <c r="V9" s="26">
        <v>-47.93</v>
      </c>
      <c r="W9" s="26">
        <v>706.3</v>
      </c>
      <c r="X9" s="26">
        <v>49.74</v>
      </c>
      <c r="Y9">
        <f t="shared" si="6"/>
        <v>-23.940000000000055</v>
      </c>
      <c r="AA9">
        <v>-48.54</v>
      </c>
      <c r="AB9">
        <v>706.01</v>
      </c>
      <c r="AC9">
        <v>49.96</v>
      </c>
      <c r="AD9">
        <f t="shared" si="0"/>
        <v>-0.62000000000000455</v>
      </c>
      <c r="AE9" s="6">
        <f t="shared" si="1"/>
        <v>0.60999999999999943</v>
      </c>
      <c r="AF9">
        <f t="shared" si="2"/>
        <v>0.35000000000000142</v>
      </c>
      <c r="AG9" s="3">
        <f t="shared" si="3"/>
        <v>0.28999999999996362</v>
      </c>
      <c r="AH9">
        <f t="shared" si="4"/>
        <v>1.999999999998181E-2</v>
      </c>
      <c r="AI9" s="20">
        <f t="shared" si="5"/>
        <v>-0.21999999999999886</v>
      </c>
    </row>
    <row r="10" spans="1:35" x14ac:dyDescent="0.3">
      <c r="C10">
        <v>778</v>
      </c>
      <c r="D10">
        <v>410</v>
      </c>
      <c r="F10">
        <v>173.24</v>
      </c>
      <c r="G10">
        <v>50.13</v>
      </c>
      <c r="H10">
        <v>754</v>
      </c>
      <c r="J10">
        <v>167.79</v>
      </c>
      <c r="K10">
        <v>48.55</v>
      </c>
      <c r="L10">
        <v>730.28</v>
      </c>
      <c r="N10">
        <v>173</v>
      </c>
      <c r="O10">
        <v>52</v>
      </c>
      <c r="P10">
        <v>754</v>
      </c>
      <c r="R10">
        <v>166.49</v>
      </c>
      <c r="S10">
        <v>50.62</v>
      </c>
      <c r="T10">
        <v>730.49</v>
      </c>
      <c r="U10" s="26"/>
      <c r="V10" s="26">
        <v>-145.31</v>
      </c>
      <c r="W10" s="26">
        <v>706.42</v>
      </c>
      <c r="X10" s="26">
        <v>50.09</v>
      </c>
      <c r="Y10">
        <f t="shared" si="6"/>
        <v>-23.509999999999991</v>
      </c>
      <c r="AA10">
        <v>-146.57</v>
      </c>
      <c r="AB10">
        <v>704.82</v>
      </c>
      <c r="AC10">
        <v>51.45</v>
      </c>
      <c r="AD10">
        <f t="shared" si="0"/>
        <v>-1.2999999999999829</v>
      </c>
      <c r="AE10" s="6">
        <f t="shared" si="1"/>
        <v>1.2599999999999909</v>
      </c>
      <c r="AF10">
        <f t="shared" si="2"/>
        <v>2.0700000000000003</v>
      </c>
      <c r="AG10" s="3">
        <f t="shared" si="3"/>
        <v>1.5999999999999091</v>
      </c>
      <c r="AH10">
        <f t="shared" si="4"/>
        <v>0.21000000000003638</v>
      </c>
      <c r="AI10" s="20">
        <f t="shared" si="5"/>
        <v>-1.3599999999999994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topLeftCell="H1" zoomScale="80" zoomScaleNormal="80" workbookViewId="0">
      <selection activeCell="Y3" sqref="Y3:Y10"/>
    </sheetView>
  </sheetViews>
  <sheetFormatPr baseColWidth="10" defaultColWidth="8.88671875" defaultRowHeight="14.4" x14ac:dyDescent="0.3"/>
  <cols>
    <col min="1" max="1" width="13.109375" customWidth="1"/>
    <col min="5" max="5" width="14.44140625" customWidth="1"/>
    <col min="9" max="9" width="21.109375" customWidth="1"/>
    <col min="17" max="17" width="17.88671875" customWidth="1"/>
    <col min="21" max="21" width="15.6640625" customWidth="1"/>
    <col min="25" max="25" width="24.88671875" customWidth="1"/>
    <col min="29" max="29" width="16.33203125" customWidth="1"/>
    <col min="30" max="30" width="15.33203125" customWidth="1"/>
    <col min="31" max="31" width="14.33203125" customWidth="1"/>
    <col min="32" max="32" width="13.5546875" customWidth="1"/>
    <col min="33" max="33" width="12.5546875" customWidth="1"/>
    <col min="34" max="34" width="11.88671875" customWidth="1"/>
  </cols>
  <sheetData>
    <row r="1" spans="1:35" x14ac:dyDescent="0.3">
      <c r="A1" s="24" t="s">
        <v>13</v>
      </c>
    </row>
    <row r="2" spans="1:35" x14ac:dyDescent="0.3">
      <c r="A2" s="16" t="s">
        <v>14</v>
      </c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15</v>
      </c>
      <c r="J2" t="s">
        <v>1</v>
      </c>
      <c r="K2" t="s">
        <v>2</v>
      </c>
      <c r="L2" t="s">
        <v>3</v>
      </c>
      <c r="M2" t="s">
        <v>9</v>
      </c>
      <c r="N2" t="s">
        <v>1</v>
      </c>
      <c r="O2" t="s">
        <v>2</v>
      </c>
      <c r="P2" t="s">
        <v>3</v>
      </c>
      <c r="Q2" t="s">
        <v>17</v>
      </c>
      <c r="R2" t="s">
        <v>1</v>
      </c>
      <c r="S2" t="s">
        <v>2</v>
      </c>
      <c r="T2" t="s">
        <v>3</v>
      </c>
      <c r="U2" s="26" t="s">
        <v>18</v>
      </c>
      <c r="V2" s="26" t="s">
        <v>1</v>
      </c>
      <c r="W2" s="26" t="s">
        <v>2</v>
      </c>
      <c r="X2" s="26" t="s">
        <v>3</v>
      </c>
      <c r="Y2" s="26" t="s">
        <v>31</v>
      </c>
      <c r="Z2" t="s">
        <v>16</v>
      </c>
      <c r="AA2" t="s">
        <v>1</v>
      </c>
      <c r="AB2" t="s">
        <v>2</v>
      </c>
      <c r="AC2" t="s">
        <v>3</v>
      </c>
      <c r="AD2" t="s">
        <v>20</v>
      </c>
      <c r="AE2" s="6" t="s">
        <v>21</v>
      </c>
      <c r="AF2" t="s">
        <v>22</v>
      </c>
      <c r="AG2" s="3" t="s">
        <v>23</v>
      </c>
      <c r="AH2" t="s">
        <v>24</v>
      </c>
      <c r="AI2" s="20" t="s">
        <v>25</v>
      </c>
    </row>
    <row r="3" spans="1:35" x14ac:dyDescent="0.3">
      <c r="C3">
        <v>535</v>
      </c>
      <c r="D3">
        <v>342</v>
      </c>
      <c r="F3">
        <v>-133.12</v>
      </c>
      <c r="G3">
        <v>-35.840000000000003</v>
      </c>
      <c r="H3">
        <v>812</v>
      </c>
      <c r="J3">
        <v>-129.72</v>
      </c>
      <c r="K3">
        <v>-34.92</v>
      </c>
      <c r="L3">
        <v>791.23</v>
      </c>
      <c r="N3">
        <v>-136</v>
      </c>
      <c r="O3">
        <v>-34</v>
      </c>
      <c r="P3">
        <v>812</v>
      </c>
      <c r="R3">
        <v>-128.36000000000001</v>
      </c>
      <c r="S3">
        <v>-34.25</v>
      </c>
      <c r="T3">
        <v>790.9</v>
      </c>
      <c r="U3" s="26"/>
      <c r="V3" s="26">
        <v>151.72</v>
      </c>
      <c r="W3" s="26">
        <v>608.6</v>
      </c>
      <c r="X3" s="26">
        <v>49.88</v>
      </c>
      <c r="Y3">
        <f>T3-H3</f>
        <v>-21.100000000000023</v>
      </c>
      <c r="AA3">
        <v>153.09</v>
      </c>
      <c r="AB3">
        <v>607.89</v>
      </c>
      <c r="AC3">
        <v>49.99</v>
      </c>
      <c r="AD3">
        <f t="shared" ref="AD3:AD10" si="0">R3-J3</f>
        <v>1.3599999999999852</v>
      </c>
      <c r="AE3" s="6">
        <f t="shared" ref="AE3:AE10" si="1">V3-AA3</f>
        <v>-1.3700000000000045</v>
      </c>
      <c r="AF3">
        <f t="shared" ref="AF3:AF10" si="2">S3-K3</f>
        <v>0.67000000000000171</v>
      </c>
      <c r="AG3" s="3">
        <f t="shared" ref="AG3:AG10" si="3">W3-AB3</f>
        <v>0.71000000000003638</v>
      </c>
      <c r="AH3">
        <f t="shared" ref="AH3:AH10" si="4">T3-L3</f>
        <v>-0.33000000000004093</v>
      </c>
      <c r="AI3" s="20">
        <f t="shared" ref="AI3:AI10" si="5">X3-AC3</f>
        <v>-0.10999999999999943</v>
      </c>
    </row>
    <row r="4" spans="1:35" x14ac:dyDescent="0.3">
      <c r="C4">
        <v>612</v>
      </c>
      <c r="D4">
        <v>344</v>
      </c>
      <c r="F4">
        <v>-31.74</v>
      </c>
      <c r="G4">
        <v>-33.119999999999997</v>
      </c>
      <c r="H4">
        <v>810</v>
      </c>
      <c r="J4">
        <v>-30.92</v>
      </c>
      <c r="K4">
        <v>-32.25</v>
      </c>
      <c r="L4">
        <v>788.94</v>
      </c>
      <c r="N4">
        <v>-34</v>
      </c>
      <c r="O4">
        <v>-32</v>
      </c>
      <c r="P4">
        <v>810</v>
      </c>
      <c r="R4">
        <v>-31.02</v>
      </c>
      <c r="S4">
        <v>-32.590000000000003</v>
      </c>
      <c r="T4">
        <v>789.57</v>
      </c>
      <c r="U4" s="26"/>
      <c r="V4" s="26">
        <v>54.35</v>
      </c>
      <c r="W4" s="26">
        <v>608.63</v>
      </c>
      <c r="X4" s="26">
        <v>50</v>
      </c>
      <c r="Y4">
        <f t="shared" ref="Y4:Y10" si="6">T4-H4</f>
        <v>-20.42999999999995</v>
      </c>
      <c r="AA4">
        <v>54.23</v>
      </c>
      <c r="AB4">
        <v>609.26</v>
      </c>
      <c r="AC4">
        <v>50.31</v>
      </c>
      <c r="AD4">
        <f t="shared" si="0"/>
        <v>-9.9999999999997868E-2</v>
      </c>
      <c r="AE4" s="6">
        <f t="shared" si="1"/>
        <v>0.12000000000000455</v>
      </c>
      <c r="AF4">
        <f t="shared" si="2"/>
        <v>-0.34000000000000341</v>
      </c>
      <c r="AG4" s="3">
        <f t="shared" si="3"/>
        <v>-0.62999999999999545</v>
      </c>
      <c r="AH4">
        <f t="shared" si="4"/>
        <v>0.62999999999999545</v>
      </c>
      <c r="AI4" s="20">
        <f t="shared" si="5"/>
        <v>-0.31000000000000227</v>
      </c>
    </row>
    <row r="5" spans="1:35" x14ac:dyDescent="0.3">
      <c r="C5">
        <v>692</v>
      </c>
      <c r="D5">
        <v>343</v>
      </c>
      <c r="F5">
        <v>73.150000000000006</v>
      </c>
      <c r="G5">
        <v>-34.39</v>
      </c>
      <c r="H5">
        <v>809</v>
      </c>
      <c r="J5">
        <v>71.290000000000006</v>
      </c>
      <c r="K5">
        <v>-33.520000000000003</v>
      </c>
      <c r="L5">
        <v>788.47</v>
      </c>
      <c r="N5">
        <v>72</v>
      </c>
      <c r="O5">
        <v>-33</v>
      </c>
      <c r="P5">
        <v>809</v>
      </c>
      <c r="R5">
        <v>71.209999999999994</v>
      </c>
      <c r="S5">
        <v>-30.29</v>
      </c>
      <c r="T5">
        <v>788.97</v>
      </c>
      <c r="U5" s="26"/>
      <c r="V5" s="26">
        <v>-47.91</v>
      </c>
      <c r="W5" s="26">
        <v>608.66</v>
      </c>
      <c r="X5" s="26">
        <v>50.15</v>
      </c>
      <c r="Y5">
        <f t="shared" si="6"/>
        <v>-20.029999999999973</v>
      </c>
      <c r="AA5">
        <v>-47.94</v>
      </c>
      <c r="AB5">
        <v>606.30999999999995</v>
      </c>
      <c r="AC5">
        <v>51.42</v>
      </c>
      <c r="AD5">
        <f t="shared" si="0"/>
        <v>-8.0000000000012506E-2</v>
      </c>
      <c r="AE5" s="6">
        <f t="shared" si="1"/>
        <v>3.0000000000001137E-2</v>
      </c>
      <c r="AF5">
        <f t="shared" si="2"/>
        <v>3.230000000000004</v>
      </c>
      <c r="AG5" s="3">
        <f t="shared" si="3"/>
        <v>2.3500000000000227</v>
      </c>
      <c r="AH5">
        <f t="shared" si="4"/>
        <v>0.5</v>
      </c>
      <c r="AI5" s="20">
        <f t="shared" si="5"/>
        <v>-1.2700000000000031</v>
      </c>
    </row>
    <row r="6" spans="1:35" x14ac:dyDescent="0.3">
      <c r="C6">
        <v>768</v>
      </c>
      <c r="D6">
        <v>343</v>
      </c>
      <c r="F6">
        <v>172.55</v>
      </c>
      <c r="G6">
        <v>-34.35</v>
      </c>
      <c r="H6">
        <v>808</v>
      </c>
      <c r="J6">
        <v>168.48</v>
      </c>
      <c r="K6">
        <v>-33.54</v>
      </c>
      <c r="L6">
        <v>788.91</v>
      </c>
      <c r="N6">
        <v>172</v>
      </c>
      <c r="O6">
        <v>-33</v>
      </c>
      <c r="P6">
        <v>808</v>
      </c>
      <c r="R6">
        <v>168.26</v>
      </c>
      <c r="S6">
        <v>-28.75</v>
      </c>
      <c r="T6">
        <v>786.6</v>
      </c>
      <c r="U6" s="26"/>
      <c r="V6" s="26">
        <v>-144.99</v>
      </c>
      <c r="W6" s="26">
        <v>609.20000000000005</v>
      </c>
      <c r="X6" s="26">
        <v>50.19</v>
      </c>
      <c r="Y6">
        <f t="shared" si="6"/>
        <v>-21.399999999999977</v>
      </c>
      <c r="AA6">
        <v>-145.09</v>
      </c>
      <c r="AB6">
        <v>603.95000000000005</v>
      </c>
      <c r="AC6">
        <v>51.07</v>
      </c>
      <c r="AD6">
        <f t="shared" si="0"/>
        <v>-0.21999999999999886</v>
      </c>
      <c r="AE6" s="6">
        <f t="shared" si="1"/>
        <v>9.9999999999994316E-2</v>
      </c>
      <c r="AF6">
        <f t="shared" si="2"/>
        <v>4.7899999999999991</v>
      </c>
      <c r="AG6" s="3">
        <f t="shared" si="3"/>
        <v>5.25</v>
      </c>
      <c r="AH6">
        <f t="shared" si="4"/>
        <v>-2.3099999999999454</v>
      </c>
      <c r="AI6" s="20">
        <f t="shared" si="5"/>
        <v>-0.88000000000000256</v>
      </c>
    </row>
    <row r="7" spans="1:35" x14ac:dyDescent="0.3">
      <c r="C7">
        <v>527</v>
      </c>
      <c r="D7">
        <v>408</v>
      </c>
      <c r="F7">
        <v>-133.91999999999999</v>
      </c>
      <c r="G7">
        <v>47.87</v>
      </c>
      <c r="H7">
        <v>757</v>
      </c>
      <c r="J7">
        <v>-130.28</v>
      </c>
      <c r="K7">
        <v>46.57</v>
      </c>
      <c r="L7">
        <v>736.45</v>
      </c>
      <c r="N7">
        <v>-137</v>
      </c>
      <c r="O7">
        <v>50</v>
      </c>
      <c r="P7">
        <v>757</v>
      </c>
      <c r="R7">
        <v>-131.59</v>
      </c>
      <c r="S7">
        <v>45.69</v>
      </c>
      <c r="T7">
        <v>735.22</v>
      </c>
      <c r="U7" s="26"/>
      <c r="V7" s="26">
        <v>152.85</v>
      </c>
      <c r="W7" s="26">
        <v>706.07</v>
      </c>
      <c r="X7" s="26">
        <v>49.1</v>
      </c>
      <c r="Y7">
        <f t="shared" si="6"/>
        <v>-21.779999999999973</v>
      </c>
      <c r="AA7">
        <v>151.54</v>
      </c>
      <c r="AB7">
        <v>706.04</v>
      </c>
      <c r="AC7">
        <v>47.58</v>
      </c>
      <c r="AD7">
        <f t="shared" si="0"/>
        <v>-1.3100000000000023</v>
      </c>
      <c r="AE7" s="6">
        <f t="shared" si="1"/>
        <v>1.3100000000000023</v>
      </c>
      <c r="AF7">
        <f t="shared" si="2"/>
        <v>-0.88000000000000256</v>
      </c>
      <c r="AG7" s="3">
        <f t="shared" si="3"/>
        <v>3.0000000000086402E-2</v>
      </c>
      <c r="AH7">
        <f t="shared" si="4"/>
        <v>-1.2300000000000182</v>
      </c>
      <c r="AI7" s="20">
        <f t="shared" si="5"/>
        <v>1.5200000000000031</v>
      </c>
    </row>
    <row r="8" spans="1:35" x14ac:dyDescent="0.3">
      <c r="C8">
        <v>610</v>
      </c>
      <c r="D8">
        <v>409</v>
      </c>
      <c r="F8">
        <v>-32.08</v>
      </c>
      <c r="G8">
        <v>49.03</v>
      </c>
      <c r="H8">
        <v>756</v>
      </c>
      <c r="J8">
        <v>-31.17</v>
      </c>
      <c r="K8">
        <v>47.65</v>
      </c>
      <c r="L8">
        <v>734.74</v>
      </c>
      <c r="N8">
        <v>-34</v>
      </c>
      <c r="O8">
        <v>51</v>
      </c>
      <c r="P8">
        <v>756</v>
      </c>
      <c r="R8">
        <v>-32.21</v>
      </c>
      <c r="S8">
        <v>47.19</v>
      </c>
      <c r="T8">
        <v>733.97</v>
      </c>
      <c r="U8" s="26"/>
      <c r="V8" s="26">
        <v>53.45</v>
      </c>
      <c r="W8" s="26">
        <v>705.88</v>
      </c>
      <c r="X8" s="26">
        <v>49.25</v>
      </c>
      <c r="Y8">
        <f t="shared" si="6"/>
        <v>-22.029999999999973</v>
      </c>
      <c r="AA8">
        <v>52.41</v>
      </c>
      <c r="AB8">
        <v>705.79</v>
      </c>
      <c r="AC8">
        <v>48.34</v>
      </c>
      <c r="AD8">
        <f t="shared" si="0"/>
        <v>-1.0399999999999991</v>
      </c>
      <c r="AE8" s="6">
        <f t="shared" si="1"/>
        <v>1.0400000000000063</v>
      </c>
      <c r="AF8">
        <f t="shared" si="2"/>
        <v>-0.46000000000000085</v>
      </c>
      <c r="AG8" s="3">
        <f t="shared" si="3"/>
        <v>9.0000000000031832E-2</v>
      </c>
      <c r="AH8">
        <f t="shared" si="4"/>
        <v>-0.76999999999998181</v>
      </c>
      <c r="AI8" s="20">
        <f t="shared" si="5"/>
        <v>0.90999999999999659</v>
      </c>
    </row>
    <row r="9" spans="1:35" x14ac:dyDescent="0.3">
      <c r="C9">
        <v>695</v>
      </c>
      <c r="D9">
        <v>410</v>
      </c>
      <c r="F9">
        <v>71.84</v>
      </c>
      <c r="G9">
        <v>50.13</v>
      </c>
      <c r="H9">
        <v>754</v>
      </c>
      <c r="J9">
        <v>69.91</v>
      </c>
      <c r="K9">
        <v>48.78</v>
      </c>
      <c r="L9">
        <v>733.74</v>
      </c>
      <c r="N9">
        <v>71</v>
      </c>
      <c r="O9">
        <v>52</v>
      </c>
      <c r="P9">
        <v>754</v>
      </c>
      <c r="R9">
        <v>69.45</v>
      </c>
      <c r="S9">
        <v>49.45</v>
      </c>
      <c r="T9">
        <v>731.74</v>
      </c>
      <c r="U9" s="26"/>
      <c r="V9" s="26">
        <v>-48.26</v>
      </c>
      <c r="W9" s="26">
        <v>706.83</v>
      </c>
      <c r="X9" s="26">
        <v>49.75</v>
      </c>
      <c r="Y9">
        <f t="shared" si="6"/>
        <v>-22.259999999999991</v>
      </c>
      <c r="AA9">
        <v>-48.68</v>
      </c>
      <c r="AB9">
        <v>705.12</v>
      </c>
      <c r="AC9">
        <v>48.5</v>
      </c>
      <c r="AD9">
        <f t="shared" si="0"/>
        <v>-0.45999999999999375</v>
      </c>
      <c r="AE9" s="6">
        <f t="shared" si="1"/>
        <v>0.42000000000000171</v>
      </c>
      <c r="AF9">
        <f t="shared" si="2"/>
        <v>0.67000000000000171</v>
      </c>
      <c r="AG9" s="3">
        <f t="shared" si="3"/>
        <v>1.7100000000000364</v>
      </c>
      <c r="AH9">
        <f t="shared" si="4"/>
        <v>-2</v>
      </c>
      <c r="AI9" s="20">
        <f t="shared" si="5"/>
        <v>1.25</v>
      </c>
    </row>
    <row r="10" spans="1:35" x14ac:dyDescent="0.3">
      <c r="C10">
        <v>778</v>
      </c>
      <c r="D10">
        <v>410</v>
      </c>
      <c r="F10">
        <v>172.78</v>
      </c>
      <c r="G10">
        <v>50</v>
      </c>
      <c r="H10">
        <v>752</v>
      </c>
      <c r="J10">
        <v>168.59</v>
      </c>
      <c r="K10">
        <v>48.78</v>
      </c>
      <c r="L10">
        <v>733.76</v>
      </c>
      <c r="N10">
        <v>172</v>
      </c>
      <c r="O10">
        <v>52</v>
      </c>
      <c r="P10">
        <v>752</v>
      </c>
      <c r="R10">
        <v>166.16</v>
      </c>
      <c r="S10">
        <v>50.37</v>
      </c>
      <c r="T10">
        <v>730.76</v>
      </c>
      <c r="U10" s="26"/>
      <c r="V10" s="26">
        <v>-144.97</v>
      </c>
      <c r="W10" s="26">
        <v>706.07</v>
      </c>
      <c r="X10" s="26">
        <v>50.01</v>
      </c>
      <c r="Y10">
        <f t="shared" si="6"/>
        <v>-21.240000000000009</v>
      </c>
      <c r="AA10">
        <v>-147.33000000000001</v>
      </c>
      <c r="AB10">
        <v>702.98</v>
      </c>
      <c r="AC10">
        <v>48.48</v>
      </c>
      <c r="AD10">
        <f t="shared" si="0"/>
        <v>-2.4300000000000068</v>
      </c>
      <c r="AE10" s="6">
        <f t="shared" si="1"/>
        <v>2.3600000000000136</v>
      </c>
      <c r="AF10">
        <f t="shared" si="2"/>
        <v>1.5899999999999963</v>
      </c>
      <c r="AG10" s="3">
        <f t="shared" si="3"/>
        <v>3.0900000000000318</v>
      </c>
      <c r="AH10">
        <f t="shared" si="4"/>
        <v>-3</v>
      </c>
      <c r="AI10" s="20">
        <f t="shared" si="5"/>
        <v>1.5300000000000011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4"/>
  <sheetViews>
    <sheetView tabSelected="1" topLeftCell="J1" zoomScale="80" zoomScaleNormal="80" workbookViewId="0">
      <selection activeCell="K3" sqref="K3"/>
    </sheetView>
  </sheetViews>
  <sheetFormatPr baseColWidth="10" defaultColWidth="8.88671875" defaultRowHeight="14.4" x14ac:dyDescent="0.3"/>
  <cols>
    <col min="5" max="5" width="13.6640625" customWidth="1"/>
    <col min="9" max="9" width="16.88671875" customWidth="1"/>
    <col min="18" max="18" width="12.88671875" customWidth="1"/>
    <col min="20" max="20" width="14.44140625" customWidth="1"/>
    <col min="22" max="22" width="17.5546875" customWidth="1"/>
  </cols>
  <sheetData>
    <row r="2" spans="1:23" x14ac:dyDescent="0.3">
      <c r="B2" t="s">
        <v>0</v>
      </c>
      <c r="C2" t="s">
        <v>1</v>
      </c>
      <c r="D2" t="s">
        <v>2</v>
      </c>
      <c r="E2" t="s">
        <v>6</v>
      </c>
      <c r="F2" t="s">
        <v>1</v>
      </c>
      <c r="G2" t="s">
        <v>2</v>
      </c>
      <c r="H2" t="s">
        <v>3</v>
      </c>
      <c r="I2" t="s">
        <v>17</v>
      </c>
      <c r="J2" t="s">
        <v>1</v>
      </c>
      <c r="L2" t="s">
        <v>2</v>
      </c>
      <c r="N2" t="s">
        <v>3</v>
      </c>
      <c r="P2" t="s">
        <v>32</v>
      </c>
      <c r="Q2" t="s">
        <v>1</v>
      </c>
      <c r="R2" t="s">
        <v>2</v>
      </c>
      <c r="S2" t="s">
        <v>3</v>
      </c>
      <c r="T2" t="s">
        <v>18</v>
      </c>
      <c r="U2" t="s">
        <v>1</v>
      </c>
      <c r="V2" t="s">
        <v>2</v>
      </c>
      <c r="W2" t="s">
        <v>3</v>
      </c>
    </row>
    <row r="3" spans="1:23" x14ac:dyDescent="0.3">
      <c r="A3">
        <v>1</v>
      </c>
      <c r="C3">
        <v>564</v>
      </c>
      <c r="D3">
        <v>306</v>
      </c>
      <c r="F3">
        <v>-95.79</v>
      </c>
      <c r="G3">
        <v>-84.12</v>
      </c>
      <c r="H3">
        <v>819</v>
      </c>
      <c r="J3">
        <v>-94.97</v>
      </c>
      <c r="K3">
        <v>-9364</v>
      </c>
      <c r="L3">
        <v>-81.62</v>
      </c>
      <c r="N3" s="35">
        <v>802.13</v>
      </c>
      <c r="O3" s="35"/>
      <c r="Q3">
        <f>J3-F3</f>
        <v>0.82000000000000739</v>
      </c>
      <c r="R3">
        <f>L3-G3</f>
        <v>2.5</v>
      </c>
      <c r="S3" s="21">
        <f>N3-H3</f>
        <v>-16.870000000000005</v>
      </c>
      <c r="U3">
        <v>119.3</v>
      </c>
      <c r="V3">
        <v>562.75</v>
      </c>
      <c r="W3">
        <v>68.09</v>
      </c>
    </row>
    <row r="4" spans="1:23" x14ac:dyDescent="0.3">
      <c r="A4">
        <v>2</v>
      </c>
      <c r="C4">
        <v>651</v>
      </c>
      <c r="D4">
        <v>309</v>
      </c>
      <c r="F4">
        <v>20.149999999999999</v>
      </c>
      <c r="G4">
        <v>-82.18</v>
      </c>
      <c r="H4">
        <v>840</v>
      </c>
      <c r="J4">
        <v>18.87</v>
      </c>
      <c r="L4">
        <v>-79.56</v>
      </c>
      <c r="N4" s="35">
        <v>823.59</v>
      </c>
      <c r="O4" s="35"/>
      <c r="Q4">
        <f t="shared" ref="Q4:Q17" si="0">J4-F4</f>
        <v>-1.2799999999999976</v>
      </c>
      <c r="R4">
        <f t="shared" ref="R4:R17" si="1">L4-G4</f>
        <v>2.6200000000000045</v>
      </c>
      <c r="S4" s="21">
        <f t="shared" ref="S4:S17" si="2">N4-H4</f>
        <v>-16.409999999999968</v>
      </c>
      <c r="U4">
        <v>5.71</v>
      </c>
      <c r="V4">
        <v>549.58000000000004</v>
      </c>
      <c r="W4">
        <v>49.38</v>
      </c>
    </row>
    <row r="5" spans="1:23" x14ac:dyDescent="0.3">
      <c r="A5">
        <v>3</v>
      </c>
      <c r="C5">
        <v>720</v>
      </c>
      <c r="D5">
        <v>295</v>
      </c>
      <c r="F5">
        <v>115.42</v>
      </c>
      <c r="G5">
        <v>-102.52</v>
      </c>
      <c r="H5">
        <v>850</v>
      </c>
      <c r="J5">
        <v>111.97</v>
      </c>
      <c r="L5">
        <v>-96.27</v>
      </c>
      <c r="N5" s="35">
        <v>834.16</v>
      </c>
      <c r="O5" s="35"/>
      <c r="Q5">
        <f t="shared" si="0"/>
        <v>-3.4500000000000028</v>
      </c>
      <c r="R5">
        <f t="shared" si="1"/>
        <v>6.25</v>
      </c>
      <c r="S5" s="21">
        <f t="shared" si="2"/>
        <v>-15.840000000000032</v>
      </c>
      <c r="U5">
        <v>-86.94</v>
      </c>
      <c r="V5">
        <v>527.84</v>
      </c>
      <c r="W5">
        <v>50.41</v>
      </c>
    </row>
    <row r="6" spans="1:23" x14ac:dyDescent="0.3">
      <c r="A6">
        <v>4</v>
      </c>
      <c r="C6">
        <v>786</v>
      </c>
      <c r="D6">
        <v>317</v>
      </c>
      <c r="F6">
        <v>200.25</v>
      </c>
      <c r="G6">
        <v>-69.97</v>
      </c>
      <c r="H6">
        <v>825</v>
      </c>
      <c r="J6">
        <v>195.43</v>
      </c>
      <c r="L6">
        <v>-66.489999999999995</v>
      </c>
      <c r="N6" s="35">
        <v>814.13</v>
      </c>
      <c r="O6" s="35"/>
      <c r="Q6">
        <f t="shared" si="0"/>
        <v>-4.8199999999999932</v>
      </c>
      <c r="R6">
        <f t="shared" si="1"/>
        <v>3.480000000000004</v>
      </c>
      <c r="S6" s="21">
        <f t="shared" si="2"/>
        <v>-10.870000000000005</v>
      </c>
      <c r="U6">
        <v>-171.15</v>
      </c>
      <c r="V6">
        <v>561.91999999999996</v>
      </c>
      <c r="W6">
        <v>49.53</v>
      </c>
    </row>
    <row r="7" spans="1:23" x14ac:dyDescent="0.3">
      <c r="A7">
        <v>5</v>
      </c>
      <c r="C7">
        <v>525</v>
      </c>
      <c r="D7">
        <v>374</v>
      </c>
      <c r="F7">
        <v>-136.19</v>
      </c>
      <c r="G7">
        <v>5.98</v>
      </c>
      <c r="H7">
        <v>756</v>
      </c>
      <c r="J7">
        <v>-135.68</v>
      </c>
      <c r="L7">
        <v>5.0599999999999996</v>
      </c>
      <c r="N7" s="35">
        <v>741.27</v>
      </c>
      <c r="O7" s="35"/>
      <c r="Q7">
        <f t="shared" si="0"/>
        <v>0.50999999999999091</v>
      </c>
      <c r="R7">
        <f t="shared" si="1"/>
        <v>-0.92000000000000082</v>
      </c>
      <c r="S7" s="21">
        <f t="shared" si="2"/>
        <v>-14.730000000000018</v>
      </c>
      <c r="U7">
        <v>157.72999999999999</v>
      </c>
      <c r="V7">
        <v>669.52</v>
      </c>
      <c r="W7">
        <v>67.650000000000006</v>
      </c>
    </row>
    <row r="8" spans="1:23" x14ac:dyDescent="0.3">
      <c r="A8">
        <v>6</v>
      </c>
      <c r="C8">
        <v>603</v>
      </c>
      <c r="D8">
        <v>371</v>
      </c>
      <c r="F8">
        <v>-43.45</v>
      </c>
      <c r="G8">
        <v>2.4500000000000002</v>
      </c>
      <c r="H8">
        <v>808</v>
      </c>
      <c r="J8">
        <v>-44.21</v>
      </c>
      <c r="L8">
        <v>2.2000000000000002</v>
      </c>
      <c r="N8" s="35">
        <v>789.01</v>
      </c>
      <c r="O8" s="35"/>
      <c r="Q8">
        <f t="shared" si="0"/>
        <v>-0.75999999999999801</v>
      </c>
      <c r="R8">
        <f t="shared" si="1"/>
        <v>-0.25</v>
      </c>
      <c r="S8" s="21">
        <f t="shared" si="2"/>
        <v>-18.990000000000009</v>
      </c>
      <c r="U8">
        <v>66.92</v>
      </c>
      <c r="V8">
        <v>637.63</v>
      </c>
      <c r="W8">
        <v>30.34</v>
      </c>
    </row>
    <row r="9" spans="1:23" x14ac:dyDescent="0.3">
      <c r="A9">
        <v>7</v>
      </c>
      <c r="C9">
        <v>678</v>
      </c>
      <c r="D9">
        <v>381</v>
      </c>
      <c r="F9">
        <v>55.48</v>
      </c>
      <c r="G9">
        <v>15.81</v>
      </c>
      <c r="H9">
        <v>819</v>
      </c>
      <c r="J9">
        <v>52.28</v>
      </c>
      <c r="L9">
        <v>17.21</v>
      </c>
      <c r="N9" s="35">
        <v>802.47</v>
      </c>
      <c r="O9" s="35"/>
      <c r="Q9">
        <f t="shared" si="0"/>
        <v>-3.1999999999999957</v>
      </c>
      <c r="R9">
        <f t="shared" si="1"/>
        <v>1.4000000000000004</v>
      </c>
      <c r="S9" s="21">
        <f t="shared" si="2"/>
        <v>-16.529999999999973</v>
      </c>
      <c r="U9">
        <v>-29.65</v>
      </c>
      <c r="V9">
        <v>640.02</v>
      </c>
      <c r="W9">
        <v>10.67</v>
      </c>
    </row>
    <row r="10" spans="1:23" x14ac:dyDescent="0.3">
      <c r="A10">
        <v>8</v>
      </c>
      <c r="C10">
        <v>739</v>
      </c>
      <c r="D10">
        <v>346</v>
      </c>
      <c r="F10">
        <v>133.76</v>
      </c>
      <c r="G10">
        <v>-30.22</v>
      </c>
      <c r="H10">
        <v>803</v>
      </c>
      <c r="J10">
        <v>129.19999999999999</v>
      </c>
      <c r="L10">
        <v>-27.35</v>
      </c>
      <c r="N10" s="35">
        <v>785.46</v>
      </c>
      <c r="O10" s="35"/>
      <c r="Q10">
        <f t="shared" si="0"/>
        <v>-4.5600000000000023</v>
      </c>
      <c r="R10">
        <f t="shared" si="1"/>
        <v>2.8699999999999974</v>
      </c>
      <c r="S10" s="21">
        <f t="shared" si="2"/>
        <v>-17.539999999999964</v>
      </c>
      <c r="U10">
        <v>-105.98</v>
      </c>
      <c r="V10">
        <v>611.84</v>
      </c>
      <c r="W10">
        <v>50.31</v>
      </c>
    </row>
    <row r="11" spans="1:23" x14ac:dyDescent="0.3">
      <c r="A11">
        <v>9</v>
      </c>
      <c r="C11">
        <v>617</v>
      </c>
      <c r="D11">
        <v>433</v>
      </c>
      <c r="F11">
        <v>-23.35</v>
      </c>
      <c r="G11">
        <v>78.03</v>
      </c>
      <c r="H11">
        <v>751</v>
      </c>
      <c r="J11">
        <v>-25.26</v>
      </c>
      <c r="L11">
        <v>76.2</v>
      </c>
      <c r="N11" s="35">
        <v>737.73</v>
      </c>
      <c r="O11" s="35"/>
      <c r="Q11">
        <f t="shared" si="0"/>
        <v>-1.9100000000000001</v>
      </c>
      <c r="R11">
        <f t="shared" si="1"/>
        <v>-1.8299999999999983</v>
      </c>
      <c r="S11" s="21">
        <f t="shared" si="2"/>
        <v>-13.269999999999982</v>
      </c>
      <c r="U11">
        <v>46.05</v>
      </c>
      <c r="V11">
        <v>727.23</v>
      </c>
      <c r="W11">
        <v>29.41</v>
      </c>
    </row>
    <row r="12" spans="1:23" x14ac:dyDescent="0.3">
      <c r="A12">
        <v>10</v>
      </c>
      <c r="C12">
        <v>705</v>
      </c>
      <c r="D12">
        <v>422</v>
      </c>
      <c r="F12">
        <v>82.05</v>
      </c>
      <c r="G12">
        <v>63.3</v>
      </c>
      <c r="H12">
        <v>736</v>
      </c>
      <c r="J12">
        <v>77.599999999999994</v>
      </c>
      <c r="L12">
        <v>63.72</v>
      </c>
      <c r="N12" s="35">
        <v>722.6</v>
      </c>
      <c r="O12" s="35"/>
      <c r="Q12">
        <f t="shared" si="0"/>
        <v>-4.4500000000000028</v>
      </c>
      <c r="R12">
        <f t="shared" si="1"/>
        <v>0.42000000000000171</v>
      </c>
      <c r="S12" s="21">
        <f t="shared" si="2"/>
        <v>-13.399999999999977</v>
      </c>
      <c r="U12">
        <v>-56.77</v>
      </c>
      <c r="V12">
        <v>723.58</v>
      </c>
      <c r="W12">
        <v>48.96</v>
      </c>
    </row>
    <row r="13" spans="1:23" x14ac:dyDescent="0.3">
      <c r="A13">
        <v>11</v>
      </c>
      <c r="C13">
        <v>802</v>
      </c>
      <c r="D13">
        <v>398</v>
      </c>
      <c r="F13">
        <v>197.45</v>
      </c>
      <c r="G13">
        <v>34.520000000000003</v>
      </c>
      <c r="H13">
        <v>735</v>
      </c>
      <c r="J13">
        <v>189.08</v>
      </c>
      <c r="L13">
        <v>34.770000000000003</v>
      </c>
      <c r="N13" s="35">
        <v>718.47</v>
      </c>
      <c r="O13" s="35"/>
      <c r="Q13">
        <f t="shared" si="0"/>
        <v>-8.3699999999999761</v>
      </c>
      <c r="R13">
        <f t="shared" si="1"/>
        <v>0.25</v>
      </c>
      <c r="S13" s="21">
        <f t="shared" si="2"/>
        <v>-16.529999999999973</v>
      </c>
      <c r="U13">
        <v>-167.77</v>
      </c>
      <c r="V13">
        <v>699.95</v>
      </c>
      <c r="W13">
        <v>69.06</v>
      </c>
    </row>
    <row r="14" spans="1:23" x14ac:dyDescent="0.3">
      <c r="A14">
        <v>12</v>
      </c>
      <c r="C14">
        <v>475</v>
      </c>
      <c r="D14">
        <v>433</v>
      </c>
      <c r="F14">
        <v>-191.95</v>
      </c>
      <c r="G14">
        <v>76.37</v>
      </c>
      <c r="H14">
        <v>735</v>
      </c>
      <c r="J14">
        <v>-189.64</v>
      </c>
      <c r="L14">
        <v>72.959999999999994</v>
      </c>
      <c r="N14" s="35">
        <v>716.83</v>
      </c>
      <c r="O14" s="35"/>
      <c r="Q14">
        <f t="shared" si="0"/>
        <v>2.3100000000000023</v>
      </c>
      <c r="R14">
        <f t="shared" si="1"/>
        <v>-3.4100000000000108</v>
      </c>
      <c r="S14" s="21">
        <f t="shared" si="2"/>
        <v>-18.169999999999959</v>
      </c>
      <c r="U14">
        <v>210.18</v>
      </c>
      <c r="V14">
        <v>740.19</v>
      </c>
      <c r="W14">
        <v>48.35</v>
      </c>
    </row>
    <row r="15" spans="1:23" x14ac:dyDescent="0.3">
      <c r="A15">
        <v>13</v>
      </c>
      <c r="C15">
        <v>553</v>
      </c>
      <c r="D15">
        <v>452</v>
      </c>
      <c r="F15">
        <v>-96.91</v>
      </c>
      <c r="G15">
        <v>96.93</v>
      </c>
      <c r="H15">
        <v>719</v>
      </c>
      <c r="J15">
        <v>-97.73</v>
      </c>
      <c r="L15">
        <v>93.53</v>
      </c>
      <c r="N15" s="35">
        <v>702.56</v>
      </c>
      <c r="O15" s="35"/>
      <c r="Q15">
        <f t="shared" si="0"/>
        <v>-0.82000000000000739</v>
      </c>
      <c r="R15">
        <f t="shared" si="1"/>
        <v>-3.4000000000000057</v>
      </c>
      <c r="S15" s="21">
        <f t="shared" si="2"/>
        <v>-16.440000000000055</v>
      </c>
      <c r="U15">
        <v>117.76</v>
      </c>
      <c r="V15">
        <v>763.25</v>
      </c>
      <c r="W15">
        <v>48.1</v>
      </c>
    </row>
    <row r="16" spans="1:23" x14ac:dyDescent="0.3">
      <c r="A16">
        <v>14</v>
      </c>
      <c r="C16">
        <v>626</v>
      </c>
      <c r="D16">
        <v>466</v>
      </c>
      <c r="F16">
        <v>-11.67</v>
      </c>
      <c r="G16">
        <v>111.42</v>
      </c>
      <c r="H16">
        <v>707</v>
      </c>
      <c r="J16">
        <v>-14.28</v>
      </c>
      <c r="L16">
        <v>107.8</v>
      </c>
      <c r="N16" s="35">
        <v>691.91</v>
      </c>
      <c r="O16" s="35"/>
      <c r="Q16">
        <f t="shared" si="0"/>
        <v>-2.6099999999999994</v>
      </c>
      <c r="R16">
        <f t="shared" si="1"/>
        <v>-3.6200000000000045</v>
      </c>
      <c r="S16" s="21">
        <f t="shared" si="2"/>
        <v>-15.090000000000032</v>
      </c>
      <c r="U16">
        <v>33.94</v>
      </c>
      <c r="V16">
        <v>779.25</v>
      </c>
      <c r="W16">
        <v>48.53</v>
      </c>
    </row>
    <row r="17" spans="1:24" x14ac:dyDescent="0.3">
      <c r="A17">
        <v>15</v>
      </c>
      <c r="C17">
        <v>733</v>
      </c>
      <c r="D17">
        <v>443</v>
      </c>
      <c r="F17">
        <v>106.34</v>
      </c>
      <c r="G17">
        <v>81.48</v>
      </c>
      <c r="H17">
        <v>678</v>
      </c>
      <c r="J17">
        <v>101.58</v>
      </c>
      <c r="L17">
        <v>79.819999999999993</v>
      </c>
      <c r="N17" s="35">
        <v>663.44</v>
      </c>
      <c r="O17" s="35">
        <v>664.75</v>
      </c>
      <c r="Q17">
        <f t="shared" si="0"/>
        <v>-4.7600000000000051</v>
      </c>
      <c r="R17">
        <f t="shared" si="1"/>
        <v>-1.6600000000000108</v>
      </c>
      <c r="S17" s="21">
        <f t="shared" si="2"/>
        <v>-14.559999999999945</v>
      </c>
      <c r="U17">
        <v>-81.760000000000005</v>
      </c>
      <c r="V17">
        <v>770.39</v>
      </c>
      <c r="W17">
        <v>87.93</v>
      </c>
    </row>
    <row r="20" spans="1:24" x14ac:dyDescent="0.3">
      <c r="P20" t="s">
        <v>53</v>
      </c>
      <c r="Q20" t="s">
        <v>52</v>
      </c>
      <c r="S20" t="s">
        <v>54</v>
      </c>
      <c r="T20" t="s">
        <v>55</v>
      </c>
      <c r="X20" t="s">
        <v>56</v>
      </c>
    </row>
    <row r="21" spans="1:24" x14ac:dyDescent="0.3">
      <c r="P21">
        <f>C3*0.00162024-1.03078193</f>
        <v>-0.1169665700000001</v>
      </c>
      <c r="Q21">
        <f>Q3/S3</f>
        <v>-4.8606994665086375E-2</v>
      </c>
      <c r="S21">
        <f>J3/N3</f>
        <v>-0.11839726727587797</v>
      </c>
      <c r="T21">
        <f>F3/H3</f>
        <v>-0.11695970695970696</v>
      </c>
      <c r="X21">
        <f>F3/N3</f>
        <v>-0.11941954546021219</v>
      </c>
    </row>
    <row r="22" spans="1:24" x14ac:dyDescent="0.3">
      <c r="P22">
        <f>C4*0.00162024-1.03078193</f>
        <v>2.3994309999999963E-2</v>
      </c>
      <c r="Q22">
        <f>Q4/S4</f>
        <v>7.8001218769043271E-2</v>
      </c>
      <c r="S22">
        <f>J4/N4</f>
        <v>2.291188576840418E-2</v>
      </c>
      <c r="T22">
        <f>F4/H4</f>
        <v>2.3988095238095235E-2</v>
      </c>
      <c r="X22">
        <f t="shared" ref="X22:X35" si="3">F4/N4</f>
        <v>2.4466057140081834E-2</v>
      </c>
    </row>
    <row r="23" spans="1:24" x14ac:dyDescent="0.3">
      <c r="P23">
        <f>C5*0.00162024-1.03078193</f>
        <v>0.1357908699999999</v>
      </c>
      <c r="Q23">
        <f>Q5/S5</f>
        <v>0.21780303030303005</v>
      </c>
      <c r="S23">
        <f>J5/N5</f>
        <v>0.1342308430037403</v>
      </c>
      <c r="T23">
        <f>F5/H5</f>
        <v>0.13578823529411765</v>
      </c>
      <c r="X23">
        <f t="shared" si="3"/>
        <v>0.13836674019372783</v>
      </c>
    </row>
    <row r="24" spans="1:24" x14ac:dyDescent="0.3">
      <c r="G24" t="s">
        <v>4</v>
      </c>
      <c r="H24" t="s">
        <v>1</v>
      </c>
      <c r="I24" t="s">
        <v>2</v>
      </c>
      <c r="J24" t="s">
        <v>3</v>
      </c>
      <c r="P24">
        <f>C6*0.00162024-1.03078193</f>
        <v>0.2427267099999999</v>
      </c>
      <c r="Q24">
        <f>Q6/S6</f>
        <v>0.4434222631094748</v>
      </c>
      <c r="S24">
        <f>J6/N6</f>
        <v>0.24004765823639959</v>
      </c>
      <c r="T24">
        <f>F6/H6</f>
        <v>0.24272727272727274</v>
      </c>
      <c r="X24">
        <f t="shared" si="3"/>
        <v>0.24596808863449326</v>
      </c>
    </row>
    <row r="25" spans="1:24" x14ac:dyDescent="0.3">
      <c r="H25">
        <v>3.7800000000000011</v>
      </c>
      <c r="I25" s="29">
        <v>0.60999999999999943</v>
      </c>
      <c r="J25" s="28">
        <v>-16.870000000000005</v>
      </c>
      <c r="K25" s="28"/>
      <c r="P25">
        <f>C7*0.00162024-1.03078193</f>
        <v>-0.18015593000000008</v>
      </c>
      <c r="Q25">
        <f>Q7/S7</f>
        <v>-3.4623217922606267E-2</v>
      </c>
      <c r="S25">
        <f>J7/N7</f>
        <v>-0.18303721990637692</v>
      </c>
      <c r="T25">
        <f>F7/H7</f>
        <v>-0.18014550264550264</v>
      </c>
      <c r="X25">
        <f t="shared" si="3"/>
        <v>-0.18372522832436225</v>
      </c>
    </row>
    <row r="26" spans="1:24" x14ac:dyDescent="0.3">
      <c r="H26">
        <v>1.6599999999999966</v>
      </c>
      <c r="I26" s="29">
        <v>1.0999999999999943</v>
      </c>
      <c r="J26" s="28">
        <v>-14.539999999999964</v>
      </c>
      <c r="K26" s="28"/>
      <c r="P26">
        <f>C8*0.00162024-1.03078193</f>
        <v>-5.377721000000002E-2</v>
      </c>
      <c r="Q26">
        <f>Q8/S8</f>
        <v>4.002106371774606E-2</v>
      </c>
      <c r="S26">
        <f>J8/N8</f>
        <v>-5.6032242937351873E-2</v>
      </c>
      <c r="T26">
        <f>F8/H8</f>
        <v>-5.3774752475247531E-2</v>
      </c>
      <c r="X26">
        <f t="shared" si="3"/>
        <v>-5.5069010532185908E-2</v>
      </c>
    </row>
    <row r="27" spans="1:24" x14ac:dyDescent="0.3">
      <c r="H27">
        <v>1.0000000000001563E-2</v>
      </c>
      <c r="I27" s="29">
        <v>2.4399999999999977</v>
      </c>
      <c r="J27" s="28">
        <v>-19.399999999999977</v>
      </c>
      <c r="K27" s="28"/>
      <c r="P27">
        <f>C9*0.00162024-1.03078193</f>
        <v>6.7740789999999995E-2</v>
      </c>
      <c r="Q27">
        <f>Q9/S9</f>
        <v>0.19358741681790689</v>
      </c>
      <c r="S27">
        <f>J9/N9</f>
        <v>6.514885291661994E-2</v>
      </c>
      <c r="T27">
        <f>F9/H9</f>
        <v>6.7741147741147742E-2</v>
      </c>
      <c r="X27">
        <f t="shared" si="3"/>
        <v>6.913654092987899E-2</v>
      </c>
    </row>
    <row r="28" spans="1:24" x14ac:dyDescent="0.3">
      <c r="H28">
        <v>-3.1099999999999994</v>
      </c>
      <c r="I28" s="29">
        <v>4.1799999999999926</v>
      </c>
      <c r="J28" s="28">
        <v>-20.029999999999973</v>
      </c>
      <c r="K28" s="28"/>
      <c r="P28">
        <f>C10*0.00162024-1.03078193</f>
        <v>0.16657542999999997</v>
      </c>
      <c r="Q28">
        <f>Q10/S10</f>
        <v>0.2599771949828969</v>
      </c>
      <c r="S28">
        <f>J10/N10</f>
        <v>0.16448959845186259</v>
      </c>
      <c r="T28">
        <f>F10/H10</f>
        <v>0.16657534246575342</v>
      </c>
      <c r="X28">
        <f t="shared" si="3"/>
        <v>0.17029511369134009</v>
      </c>
    </row>
    <row r="29" spans="1:24" x14ac:dyDescent="0.3">
      <c r="H29">
        <v>-6.0600000000000023</v>
      </c>
      <c r="I29" s="29">
        <v>5.519999999999996</v>
      </c>
      <c r="J29" s="28">
        <v>-15.639999999999986</v>
      </c>
      <c r="K29" s="28"/>
      <c r="P29">
        <f>C11*0.00162024-1.03078193</f>
        <v>-3.1093850000000089E-2</v>
      </c>
      <c r="Q29">
        <f>Q11/S11</f>
        <v>0.1439336850037681</v>
      </c>
      <c r="S29">
        <f>J11/N11</f>
        <v>-3.4240169167581637E-2</v>
      </c>
      <c r="T29">
        <f>F11/H11</f>
        <v>-3.1091877496671107E-2</v>
      </c>
      <c r="X29">
        <f t="shared" si="3"/>
        <v>-3.1651146083255394E-2</v>
      </c>
    </row>
    <row r="30" spans="1:24" x14ac:dyDescent="0.3">
      <c r="H30">
        <v>2.4699999999999989</v>
      </c>
      <c r="I30" s="32">
        <v>-1.3500000000000005</v>
      </c>
      <c r="J30" s="28">
        <v>-14.080000000000041</v>
      </c>
      <c r="K30" s="28"/>
      <c r="P30">
        <f>C12*0.00162024-1.03078193</f>
        <v>0.11148727000000003</v>
      </c>
      <c r="Q30">
        <f>Q12/S12</f>
        <v>0.33208955223880676</v>
      </c>
      <c r="S30">
        <f>J12/N12</f>
        <v>0.10738998062551895</v>
      </c>
      <c r="T30">
        <f>F12/H12</f>
        <v>0.11148097826086956</v>
      </c>
      <c r="X30">
        <f t="shared" si="3"/>
        <v>0.11354829781345142</v>
      </c>
    </row>
    <row r="31" spans="1:24" x14ac:dyDescent="0.3">
      <c r="H31">
        <v>0.71999999999999886</v>
      </c>
      <c r="I31" s="32">
        <v>-0.5</v>
      </c>
      <c r="J31" s="28">
        <v>-16.970000000000027</v>
      </c>
      <c r="K31" s="28"/>
      <c r="P31">
        <f>C13*0.00162024-1.03078193</f>
        <v>0.26865055000000004</v>
      </c>
      <c r="Q31">
        <f>Q13/S13</f>
        <v>0.50635208711433699</v>
      </c>
      <c r="S31">
        <f>J13/N13</f>
        <v>0.26317034810082535</v>
      </c>
      <c r="T31">
        <f>F13/H13</f>
        <v>0.26863945578231291</v>
      </c>
      <c r="X31">
        <f t="shared" si="3"/>
        <v>0.27482010383175354</v>
      </c>
    </row>
    <row r="32" spans="1:24" x14ac:dyDescent="0.3">
      <c r="H32">
        <v>-0.58000000000000185</v>
      </c>
      <c r="I32" s="32">
        <v>0.41999999999999993</v>
      </c>
      <c r="J32" s="28">
        <v>-17.659999999999968</v>
      </c>
      <c r="K32" s="28"/>
      <c r="P32">
        <f>C14*0.00162024-1.03078193</f>
        <v>-0.26116793000000005</v>
      </c>
      <c r="Q32">
        <f>Q14/S14</f>
        <v>-0.12713263621353921</v>
      </c>
      <c r="S32">
        <f>J14/N14</f>
        <v>-0.26455365986356594</v>
      </c>
      <c r="T32">
        <f>F14/H14</f>
        <v>-0.261156462585034</v>
      </c>
      <c r="X32">
        <f t="shared" si="3"/>
        <v>-0.26777618124241448</v>
      </c>
    </row>
    <row r="33" spans="8:24" x14ac:dyDescent="0.3">
      <c r="H33">
        <v>-3.0100000000000051</v>
      </c>
      <c r="I33" s="32">
        <v>1.5499999999999998</v>
      </c>
      <c r="J33" s="28">
        <v>-14.975000000000023</v>
      </c>
      <c r="K33" s="28"/>
      <c r="P33">
        <f>C15*0.00162024-1.03078193</f>
        <v>-0.1347892100000001</v>
      </c>
      <c r="Q33">
        <f>Q15/S15</f>
        <v>4.9878345498783741E-2</v>
      </c>
      <c r="S33">
        <f>J15/N15</f>
        <v>-0.13910555682076978</v>
      </c>
      <c r="T33">
        <f>F15/H15</f>
        <v>-0.13478442280945757</v>
      </c>
      <c r="X33">
        <f t="shared" si="3"/>
        <v>-0.13793839672056479</v>
      </c>
    </row>
    <row r="34" spans="8:24" x14ac:dyDescent="0.3">
      <c r="H34">
        <v>-8.7700000000000102</v>
      </c>
      <c r="I34" s="32">
        <v>1.3499999999999996</v>
      </c>
      <c r="J34" s="28">
        <v>-18.25</v>
      </c>
      <c r="K34" s="28"/>
      <c r="P34">
        <f>C16*0.00162024-1.03078193</f>
        <v>-1.6511689999999968E-2</v>
      </c>
      <c r="Q34">
        <f>Q16/S16</f>
        <v>0.17296222664015865</v>
      </c>
      <c r="S34">
        <f>J16/N16</f>
        <v>-2.063852235117284E-2</v>
      </c>
      <c r="T34">
        <f>F16/H16</f>
        <v>-1.6506364922206505E-2</v>
      </c>
      <c r="X34">
        <f t="shared" si="3"/>
        <v>-1.6866355450853434E-2</v>
      </c>
    </row>
    <row r="35" spans="8:24" x14ac:dyDescent="0.3">
      <c r="H35">
        <v>2.1799999999999784</v>
      </c>
      <c r="I35" s="20">
        <v>-1.3599999999999994</v>
      </c>
      <c r="J35" s="28">
        <v>-20.220000000000027</v>
      </c>
      <c r="K35" s="28"/>
      <c r="P35">
        <f>C17*0.00162024-1.03078193</f>
        <v>0.15685398999999989</v>
      </c>
      <c r="Q35">
        <f>Q17/S17</f>
        <v>0.32692307692307848</v>
      </c>
      <c r="S35">
        <f>J17/N17</f>
        <v>0.15311105751838899</v>
      </c>
      <c r="T35">
        <f>F17/H17</f>
        <v>0.15684365781710916</v>
      </c>
      <c r="X35">
        <f t="shared" si="3"/>
        <v>0.16028578319064271</v>
      </c>
    </row>
    <row r="36" spans="8:24" x14ac:dyDescent="0.3">
      <c r="H36">
        <v>2.4599999999999937</v>
      </c>
      <c r="I36" s="20">
        <v>-3.3100000000000023</v>
      </c>
      <c r="J36" s="28">
        <v>-16.769999999999982</v>
      </c>
      <c r="K36" s="28"/>
    </row>
    <row r="37" spans="8:24" x14ac:dyDescent="0.3">
      <c r="H37">
        <v>-1.4300000000000015</v>
      </c>
      <c r="I37" s="20">
        <v>-3.1000000000000085</v>
      </c>
      <c r="J37" s="28">
        <v>-16.710000000000036</v>
      </c>
      <c r="K37" s="28"/>
    </row>
    <row r="38" spans="8:24" x14ac:dyDescent="0.3">
      <c r="H38">
        <v>-2.1699999999999875</v>
      </c>
      <c r="I38" s="20">
        <v>-8.5000000000007958E-2</v>
      </c>
      <c r="J38" s="28">
        <v>-16.590000000000032</v>
      </c>
      <c r="K38" s="28"/>
    </row>
    <row r="39" spans="8:24" x14ac:dyDescent="0.3">
      <c r="H39">
        <v>-7.9899999999999807</v>
      </c>
      <c r="I39" s="20">
        <v>-0.53000000000000114</v>
      </c>
      <c r="J39" s="28">
        <v>-15.894999999999982</v>
      </c>
      <c r="K39" s="28"/>
    </row>
    <row r="50" spans="10:12" x14ac:dyDescent="0.3">
      <c r="J50">
        <v>-0.26116793000000005</v>
      </c>
      <c r="L50">
        <v>-0.12713263621353921</v>
      </c>
    </row>
    <row r="51" spans="10:12" x14ac:dyDescent="0.3">
      <c r="J51">
        <v>-0.18015593000000008</v>
      </c>
      <c r="L51">
        <v>-3.4623217922606267E-2</v>
      </c>
    </row>
    <row r="52" spans="10:12" x14ac:dyDescent="0.3">
      <c r="J52">
        <v>-0.1347892100000001</v>
      </c>
      <c r="L52">
        <v>4.9878345498783741E-2</v>
      </c>
    </row>
    <row r="53" spans="10:12" x14ac:dyDescent="0.3">
      <c r="J53">
        <v>-0.1169665700000001</v>
      </c>
      <c r="L53">
        <v>-4.8606994665086375E-2</v>
      </c>
    </row>
    <row r="54" spans="10:12" x14ac:dyDescent="0.3">
      <c r="J54">
        <v>-5.377721000000002E-2</v>
      </c>
      <c r="L54">
        <v>4.002106371774606E-2</v>
      </c>
    </row>
    <row r="55" spans="10:12" x14ac:dyDescent="0.3">
      <c r="J55">
        <v>-3.1093850000000089E-2</v>
      </c>
      <c r="L55">
        <v>0.1439336850037681</v>
      </c>
    </row>
    <row r="56" spans="10:12" x14ac:dyDescent="0.3">
      <c r="J56">
        <v>-1.6511689999999968E-2</v>
      </c>
      <c r="L56">
        <v>0.17296222664015865</v>
      </c>
    </row>
    <row r="57" spans="10:12" x14ac:dyDescent="0.3">
      <c r="J57">
        <v>2.3994309999999963E-2</v>
      </c>
      <c r="L57">
        <v>7.8001218769043271E-2</v>
      </c>
    </row>
    <row r="58" spans="10:12" x14ac:dyDescent="0.3">
      <c r="J58">
        <v>6.7740789999999995E-2</v>
      </c>
      <c r="L58">
        <v>0.19358741681790689</v>
      </c>
    </row>
    <row r="59" spans="10:12" x14ac:dyDescent="0.3">
      <c r="J59">
        <v>0.11148727000000003</v>
      </c>
      <c r="L59">
        <v>0.33208955223880676</v>
      </c>
    </row>
    <row r="60" spans="10:12" x14ac:dyDescent="0.3">
      <c r="J60">
        <v>0.1357908699999999</v>
      </c>
      <c r="L60">
        <v>0.21780303030303005</v>
      </c>
    </row>
    <row r="61" spans="10:12" x14ac:dyDescent="0.3">
      <c r="J61">
        <v>0.15685398999999989</v>
      </c>
      <c r="L61">
        <v>0.32692307692307848</v>
      </c>
    </row>
    <row r="62" spans="10:12" x14ac:dyDescent="0.3">
      <c r="J62">
        <v>0.16657542999999997</v>
      </c>
      <c r="L62">
        <v>0.2599771949828969</v>
      </c>
    </row>
    <row r="63" spans="10:12" x14ac:dyDescent="0.3">
      <c r="J63">
        <v>0.2427267099999999</v>
      </c>
      <c r="L63">
        <v>0.4434222631094748</v>
      </c>
    </row>
    <row r="64" spans="10:12" x14ac:dyDescent="0.3">
      <c r="J64">
        <v>0.26865055000000004</v>
      </c>
      <c r="L64">
        <v>0.50635208711433699</v>
      </c>
    </row>
  </sheetData>
  <sortState ref="J50:K64">
    <sortCondition ref="J50"/>
  </sortState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G6" sqref="G6"/>
    </sheetView>
  </sheetViews>
  <sheetFormatPr baseColWidth="10" defaultColWidth="8.88671875" defaultRowHeight="14.4" x14ac:dyDescent="0.3"/>
  <cols>
    <col min="1" max="1" width="15.6640625" customWidth="1"/>
    <col min="7" max="7" width="15.5546875" customWidth="1"/>
    <col min="8" max="8" width="14.33203125" customWidth="1"/>
  </cols>
  <sheetData>
    <row r="1" spans="1:16" x14ac:dyDescent="0.3">
      <c r="A1" t="s">
        <v>33</v>
      </c>
      <c r="B1">
        <v>1</v>
      </c>
      <c r="C1">
        <v>2</v>
      </c>
      <c r="D1">
        <v>3</v>
      </c>
      <c r="E1">
        <v>4</v>
      </c>
      <c r="F1">
        <v>5</v>
      </c>
      <c r="G1" t="s">
        <v>40</v>
      </c>
    </row>
    <row r="2" spans="1:16" x14ac:dyDescent="0.3">
      <c r="A2" t="s">
        <v>34</v>
      </c>
      <c r="B2">
        <v>81</v>
      </c>
      <c r="C2">
        <v>79.760000000000005</v>
      </c>
      <c r="D2">
        <v>73.430000000000007</v>
      </c>
      <c r="E2">
        <v>64.19</v>
      </c>
      <c r="F2">
        <v>64.06</v>
      </c>
      <c r="G2">
        <v>96</v>
      </c>
    </row>
    <row r="3" spans="1:16" x14ac:dyDescent="0.3">
      <c r="A3" t="s">
        <v>35</v>
      </c>
      <c r="B3">
        <v>44.61</v>
      </c>
      <c r="C3">
        <v>44.33</v>
      </c>
      <c r="D3">
        <v>41.6</v>
      </c>
      <c r="E3">
        <v>27.76</v>
      </c>
      <c r="F3">
        <v>32.18</v>
      </c>
      <c r="G3">
        <v>53</v>
      </c>
      <c r="L3" s="34">
        <v>1</v>
      </c>
      <c r="P3" s="34">
        <v>2</v>
      </c>
    </row>
    <row r="4" spans="1:16" x14ac:dyDescent="0.3">
      <c r="A4" t="s">
        <v>36</v>
      </c>
      <c r="B4">
        <v>14.34</v>
      </c>
      <c r="C4">
        <v>13.52</v>
      </c>
      <c r="D4">
        <v>8.27</v>
      </c>
      <c r="E4">
        <v>7.03</v>
      </c>
      <c r="F4">
        <v>8.56</v>
      </c>
      <c r="G4">
        <v>19</v>
      </c>
    </row>
    <row r="5" spans="1:16" x14ac:dyDescent="0.3">
      <c r="A5" t="s">
        <v>37</v>
      </c>
      <c r="B5">
        <v>83.43</v>
      </c>
      <c r="C5">
        <v>86.16</v>
      </c>
      <c r="D5">
        <v>81.25</v>
      </c>
      <c r="E5">
        <v>68.91</v>
      </c>
      <c r="F5">
        <v>67.069999999999993</v>
      </c>
      <c r="G5">
        <v>96</v>
      </c>
      <c r="N5" s="34">
        <v>3</v>
      </c>
    </row>
    <row r="6" spans="1:16" x14ac:dyDescent="0.3">
      <c r="A6" t="s">
        <v>38</v>
      </c>
      <c r="B6">
        <v>47.13</v>
      </c>
      <c r="C6">
        <v>46.85</v>
      </c>
      <c r="D6">
        <v>37.799999999999997</v>
      </c>
      <c r="E6">
        <v>29.77</v>
      </c>
      <c r="F6">
        <v>34.76</v>
      </c>
      <c r="G6">
        <v>53</v>
      </c>
    </row>
    <row r="7" spans="1:16" x14ac:dyDescent="0.3">
      <c r="A7" t="s">
        <v>39</v>
      </c>
      <c r="B7">
        <v>12.8</v>
      </c>
      <c r="C7">
        <v>13.5</v>
      </c>
      <c r="D7">
        <v>10.92</v>
      </c>
      <c r="E7">
        <v>8.41</v>
      </c>
      <c r="F7">
        <v>8.0500000000000007</v>
      </c>
      <c r="G7">
        <v>19</v>
      </c>
      <c r="L7" s="34">
        <v>4</v>
      </c>
      <c r="P7" s="34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Y34"/>
  <sheetViews>
    <sheetView workbookViewId="0">
      <selection activeCell="J27" sqref="J27"/>
    </sheetView>
  </sheetViews>
  <sheetFormatPr baseColWidth="10" defaultColWidth="8.88671875" defaultRowHeight="14.4" x14ac:dyDescent="0.3"/>
  <sheetData>
    <row r="3" spans="2:25" x14ac:dyDescent="0.3">
      <c r="B3" t="s">
        <v>44</v>
      </c>
      <c r="C3" t="s">
        <v>41</v>
      </c>
      <c r="D3" t="s">
        <v>42</v>
      </c>
      <c r="E3" t="s">
        <v>43</v>
      </c>
      <c r="G3" t="s">
        <v>45</v>
      </c>
      <c r="H3" t="s">
        <v>41</v>
      </c>
      <c r="I3" t="s">
        <v>42</v>
      </c>
      <c r="J3" t="s">
        <v>43</v>
      </c>
      <c r="L3" t="s">
        <v>46</v>
      </c>
      <c r="M3" t="s">
        <v>41</v>
      </c>
      <c r="N3" t="s">
        <v>42</v>
      </c>
      <c r="O3" t="s">
        <v>43</v>
      </c>
      <c r="Q3" t="s">
        <v>47</v>
      </c>
      <c r="R3" t="s">
        <v>41</v>
      </c>
      <c r="S3" t="s">
        <v>42</v>
      </c>
      <c r="T3" t="s">
        <v>43</v>
      </c>
      <c r="V3" t="s">
        <v>48</v>
      </c>
      <c r="W3" t="s">
        <v>41</v>
      </c>
      <c r="X3" t="s">
        <v>42</v>
      </c>
      <c r="Y3" t="s">
        <v>43</v>
      </c>
    </row>
    <row r="4" spans="2:25" x14ac:dyDescent="0.3">
      <c r="C4">
        <v>172</v>
      </c>
      <c r="D4">
        <v>61</v>
      </c>
      <c r="E4">
        <v>0</v>
      </c>
      <c r="H4">
        <v>43</v>
      </c>
      <c r="I4">
        <v>25</v>
      </c>
      <c r="J4">
        <v>208</v>
      </c>
      <c r="M4">
        <v>1</v>
      </c>
      <c r="N4">
        <v>93</v>
      </c>
      <c r="O4">
        <v>165</v>
      </c>
      <c r="R4">
        <v>49</v>
      </c>
      <c r="S4">
        <v>95</v>
      </c>
      <c r="T4">
        <v>0</v>
      </c>
      <c r="W4">
        <v>63</v>
      </c>
      <c r="X4">
        <v>70</v>
      </c>
      <c r="Y4">
        <v>239</v>
      </c>
    </row>
    <row r="5" spans="2:25" x14ac:dyDescent="0.3">
      <c r="C5">
        <v>180</v>
      </c>
      <c r="D5">
        <v>65</v>
      </c>
      <c r="E5">
        <v>0</v>
      </c>
      <c r="H5">
        <v>44</v>
      </c>
      <c r="I5">
        <v>26</v>
      </c>
      <c r="J5">
        <v>209</v>
      </c>
      <c r="M5">
        <v>31</v>
      </c>
      <c r="N5">
        <v>125</v>
      </c>
      <c r="O5">
        <v>177</v>
      </c>
      <c r="R5">
        <v>50</v>
      </c>
      <c r="S5">
        <v>99</v>
      </c>
      <c r="T5">
        <v>0</v>
      </c>
      <c r="W5">
        <v>65</v>
      </c>
      <c r="X5">
        <v>73</v>
      </c>
      <c r="Y5">
        <v>240</v>
      </c>
    </row>
    <row r="6" spans="2:25" x14ac:dyDescent="0.3">
      <c r="C6">
        <v>184</v>
      </c>
      <c r="D6">
        <v>68</v>
      </c>
      <c r="E6">
        <v>0</v>
      </c>
      <c r="H6">
        <v>48</v>
      </c>
      <c r="I6">
        <v>32</v>
      </c>
      <c r="J6">
        <v>216</v>
      </c>
      <c r="M6">
        <v>37</v>
      </c>
      <c r="N6">
        <v>134</v>
      </c>
      <c r="O6">
        <v>179</v>
      </c>
      <c r="R6">
        <v>52</v>
      </c>
      <c r="S6">
        <v>100</v>
      </c>
      <c r="T6">
        <v>0</v>
      </c>
      <c r="W6">
        <v>67</v>
      </c>
      <c r="X6">
        <v>75</v>
      </c>
      <c r="Y6">
        <v>241</v>
      </c>
    </row>
    <row r="7" spans="2:25" x14ac:dyDescent="0.3">
      <c r="C7">
        <v>180</v>
      </c>
      <c r="D7">
        <v>69</v>
      </c>
      <c r="E7">
        <v>2</v>
      </c>
      <c r="H7">
        <v>69</v>
      </c>
      <c r="I7">
        <v>48</v>
      </c>
      <c r="J7">
        <v>232</v>
      </c>
      <c r="M7">
        <v>43</v>
      </c>
      <c r="N7">
        <v>138</v>
      </c>
      <c r="O7">
        <v>192</v>
      </c>
      <c r="R7">
        <v>53</v>
      </c>
      <c r="S7">
        <v>100</v>
      </c>
      <c r="T7">
        <v>0</v>
      </c>
      <c r="W7">
        <v>68</v>
      </c>
      <c r="X7">
        <v>76</v>
      </c>
      <c r="Y7">
        <v>241</v>
      </c>
    </row>
    <row r="8" spans="2:25" x14ac:dyDescent="0.3">
      <c r="C8">
        <v>165</v>
      </c>
      <c r="D8">
        <v>60</v>
      </c>
      <c r="E8">
        <v>4</v>
      </c>
      <c r="H8">
        <v>69</v>
      </c>
      <c r="I8">
        <v>50</v>
      </c>
      <c r="J8">
        <v>235</v>
      </c>
      <c r="M8">
        <v>52</v>
      </c>
      <c r="N8">
        <v>150</v>
      </c>
      <c r="O8">
        <v>198</v>
      </c>
      <c r="R8">
        <v>55</v>
      </c>
      <c r="S8">
        <v>101</v>
      </c>
      <c r="T8">
        <v>0</v>
      </c>
      <c r="W8">
        <v>71</v>
      </c>
      <c r="X8">
        <v>76</v>
      </c>
      <c r="Y8">
        <v>242</v>
      </c>
    </row>
    <row r="9" spans="2:25" x14ac:dyDescent="0.3">
      <c r="C9">
        <v>180</v>
      </c>
      <c r="D9">
        <v>68</v>
      </c>
      <c r="E9">
        <v>6</v>
      </c>
      <c r="H9">
        <v>69</v>
      </c>
      <c r="I9">
        <v>51</v>
      </c>
      <c r="J9">
        <v>236</v>
      </c>
      <c r="M9">
        <v>55</v>
      </c>
      <c r="N9">
        <v>153</v>
      </c>
      <c r="O9">
        <v>207</v>
      </c>
      <c r="R9">
        <v>56</v>
      </c>
      <c r="S9">
        <v>108</v>
      </c>
      <c r="T9">
        <v>0</v>
      </c>
      <c r="W9">
        <v>72</v>
      </c>
      <c r="X9">
        <v>76</v>
      </c>
      <c r="Y9">
        <v>246</v>
      </c>
    </row>
    <row r="10" spans="2:25" x14ac:dyDescent="0.3">
      <c r="C10">
        <v>177</v>
      </c>
      <c r="D10">
        <v>66</v>
      </c>
      <c r="E10">
        <v>8</v>
      </c>
      <c r="H10">
        <v>70</v>
      </c>
      <c r="I10">
        <v>52</v>
      </c>
      <c r="J10">
        <v>237</v>
      </c>
      <c r="M10">
        <v>58</v>
      </c>
      <c r="N10">
        <v>154</v>
      </c>
      <c r="O10">
        <v>216</v>
      </c>
      <c r="R10">
        <v>63</v>
      </c>
      <c r="S10">
        <v>108</v>
      </c>
      <c r="T10">
        <v>0</v>
      </c>
      <c r="W10">
        <v>73</v>
      </c>
      <c r="X10">
        <v>77</v>
      </c>
      <c r="Y10">
        <v>246</v>
      </c>
    </row>
    <row r="11" spans="2:25" x14ac:dyDescent="0.3">
      <c r="C11">
        <v>187</v>
      </c>
      <c r="D11">
        <v>72</v>
      </c>
      <c r="E11">
        <v>8</v>
      </c>
      <c r="H11">
        <v>70</v>
      </c>
      <c r="I11">
        <v>53</v>
      </c>
      <c r="J11">
        <v>238</v>
      </c>
      <c r="M11">
        <v>59</v>
      </c>
      <c r="N11">
        <v>154</v>
      </c>
      <c r="O11">
        <v>217</v>
      </c>
      <c r="R11">
        <v>64</v>
      </c>
      <c r="S11">
        <v>109</v>
      </c>
      <c r="T11">
        <v>1</v>
      </c>
      <c r="W11">
        <v>73</v>
      </c>
      <c r="X11">
        <v>81</v>
      </c>
      <c r="Y11">
        <v>250</v>
      </c>
    </row>
    <row r="12" spans="2:25" x14ac:dyDescent="0.3">
      <c r="C12">
        <v>181</v>
      </c>
      <c r="D12">
        <v>69</v>
      </c>
      <c r="E12">
        <v>9</v>
      </c>
      <c r="H12">
        <v>70</v>
      </c>
      <c r="I12">
        <v>54</v>
      </c>
      <c r="J12">
        <v>239</v>
      </c>
      <c r="M12">
        <v>60</v>
      </c>
      <c r="N12">
        <v>155</v>
      </c>
      <c r="O12">
        <v>219</v>
      </c>
      <c r="R12">
        <v>66</v>
      </c>
      <c r="S12">
        <v>112</v>
      </c>
      <c r="T12">
        <v>3</v>
      </c>
      <c r="W12">
        <v>74</v>
      </c>
      <c r="X12">
        <v>83</v>
      </c>
      <c r="Y12">
        <v>252</v>
      </c>
    </row>
    <row r="13" spans="2:25" x14ac:dyDescent="0.3">
      <c r="C13">
        <v>199</v>
      </c>
      <c r="D13">
        <v>80</v>
      </c>
      <c r="E13">
        <v>14</v>
      </c>
      <c r="H13">
        <v>73</v>
      </c>
      <c r="I13">
        <v>54</v>
      </c>
      <c r="J13">
        <v>239</v>
      </c>
      <c r="M13">
        <v>61</v>
      </c>
      <c r="N13">
        <v>157</v>
      </c>
      <c r="O13">
        <v>223</v>
      </c>
      <c r="R13">
        <v>68</v>
      </c>
      <c r="S13">
        <v>115</v>
      </c>
      <c r="T13">
        <v>7</v>
      </c>
      <c r="W13">
        <v>84</v>
      </c>
      <c r="X13">
        <v>89</v>
      </c>
      <c r="Y13">
        <v>255</v>
      </c>
    </row>
    <row r="14" spans="2:25" x14ac:dyDescent="0.3">
      <c r="C14">
        <v>193</v>
      </c>
      <c r="D14">
        <v>81</v>
      </c>
      <c r="E14">
        <v>16</v>
      </c>
      <c r="H14">
        <v>74</v>
      </c>
      <c r="I14">
        <v>54</v>
      </c>
      <c r="J14">
        <v>240</v>
      </c>
      <c r="M14">
        <v>61</v>
      </c>
      <c r="N14">
        <v>157</v>
      </c>
      <c r="O14">
        <v>226</v>
      </c>
    </row>
    <row r="15" spans="2:25" x14ac:dyDescent="0.3">
      <c r="C15">
        <v>183</v>
      </c>
      <c r="D15">
        <v>77</v>
      </c>
      <c r="E15">
        <v>17</v>
      </c>
      <c r="H15">
        <v>74</v>
      </c>
      <c r="I15">
        <v>54</v>
      </c>
      <c r="J15">
        <v>240</v>
      </c>
      <c r="M15">
        <v>62</v>
      </c>
      <c r="N15">
        <v>158</v>
      </c>
      <c r="O15">
        <v>227</v>
      </c>
    </row>
    <row r="16" spans="2:25" x14ac:dyDescent="0.3">
      <c r="C16">
        <v>184</v>
      </c>
      <c r="D16">
        <v>78</v>
      </c>
      <c r="E16">
        <v>18</v>
      </c>
      <c r="H16">
        <v>76</v>
      </c>
      <c r="I16">
        <v>56</v>
      </c>
      <c r="J16">
        <v>240</v>
      </c>
      <c r="M16">
        <v>64</v>
      </c>
      <c r="N16">
        <v>159</v>
      </c>
      <c r="O16">
        <v>231</v>
      </c>
    </row>
    <row r="17" spans="2:15" x14ac:dyDescent="0.3">
      <c r="C17">
        <v>192</v>
      </c>
      <c r="D17">
        <v>83</v>
      </c>
      <c r="E17">
        <v>27</v>
      </c>
      <c r="H17">
        <v>76</v>
      </c>
      <c r="I17">
        <v>56</v>
      </c>
      <c r="J17">
        <v>243</v>
      </c>
      <c r="M17">
        <v>67</v>
      </c>
      <c r="N17">
        <v>163</v>
      </c>
      <c r="O17">
        <v>233</v>
      </c>
    </row>
    <row r="18" spans="2:15" x14ac:dyDescent="0.3">
      <c r="C18">
        <v>201</v>
      </c>
      <c r="D18">
        <v>92</v>
      </c>
      <c r="E18">
        <v>27</v>
      </c>
      <c r="H18">
        <v>77</v>
      </c>
      <c r="I18">
        <v>56</v>
      </c>
      <c r="J18">
        <v>243</v>
      </c>
      <c r="M18">
        <v>69</v>
      </c>
      <c r="N18">
        <v>164</v>
      </c>
      <c r="O18">
        <v>245</v>
      </c>
    </row>
    <row r="24" spans="2:15" x14ac:dyDescent="0.3">
      <c r="B24" t="s">
        <v>49</v>
      </c>
      <c r="C24" t="s">
        <v>41</v>
      </c>
      <c r="D24" t="s">
        <v>42</v>
      </c>
      <c r="E24" t="s">
        <v>43</v>
      </c>
      <c r="G24" t="s">
        <v>50</v>
      </c>
      <c r="H24" t="s">
        <v>41</v>
      </c>
      <c r="I24" t="s">
        <v>42</v>
      </c>
      <c r="J24" t="s">
        <v>43</v>
      </c>
      <c r="L24" t="s">
        <v>51</v>
      </c>
      <c r="M24" t="s">
        <v>41</v>
      </c>
      <c r="N24" t="s">
        <v>42</v>
      </c>
      <c r="O24" t="s">
        <v>43</v>
      </c>
    </row>
    <row r="25" spans="2:15" x14ac:dyDescent="0.3">
      <c r="C25">
        <v>226</v>
      </c>
      <c r="D25">
        <v>202</v>
      </c>
      <c r="E25">
        <v>212</v>
      </c>
      <c r="H25">
        <v>37</v>
      </c>
      <c r="I25">
        <v>127</v>
      </c>
      <c r="J25">
        <v>0</v>
      </c>
      <c r="M25">
        <v>212</v>
      </c>
      <c r="N25">
        <v>126</v>
      </c>
      <c r="O25">
        <v>38</v>
      </c>
    </row>
    <row r="26" spans="2:15" x14ac:dyDescent="0.3">
      <c r="C26">
        <v>228</v>
      </c>
      <c r="D26">
        <v>205</v>
      </c>
      <c r="E26">
        <v>215</v>
      </c>
      <c r="H26">
        <v>37</v>
      </c>
      <c r="I26">
        <v>129</v>
      </c>
      <c r="J26">
        <v>1</v>
      </c>
      <c r="M26">
        <v>214</v>
      </c>
      <c r="N26">
        <v>127</v>
      </c>
      <c r="O26">
        <v>40</v>
      </c>
    </row>
    <row r="27" spans="2:15" x14ac:dyDescent="0.3">
      <c r="C27">
        <v>238</v>
      </c>
      <c r="D27">
        <v>209</v>
      </c>
      <c r="E27">
        <v>215</v>
      </c>
      <c r="H27">
        <v>37</v>
      </c>
      <c r="I27">
        <v>129</v>
      </c>
      <c r="J27">
        <v>3</v>
      </c>
      <c r="M27">
        <v>215</v>
      </c>
      <c r="N27">
        <v>128</v>
      </c>
      <c r="O27">
        <v>46</v>
      </c>
    </row>
    <row r="28" spans="2:15" x14ac:dyDescent="0.3">
      <c r="C28">
        <v>240</v>
      </c>
      <c r="D28">
        <v>210</v>
      </c>
      <c r="E28">
        <v>216</v>
      </c>
      <c r="H28">
        <v>41</v>
      </c>
      <c r="I28">
        <v>130</v>
      </c>
      <c r="J28">
        <v>5</v>
      </c>
      <c r="M28">
        <v>215</v>
      </c>
      <c r="N28">
        <v>128</v>
      </c>
      <c r="O28">
        <v>48</v>
      </c>
    </row>
    <row r="29" spans="2:15" x14ac:dyDescent="0.3">
      <c r="C29">
        <v>241</v>
      </c>
      <c r="D29">
        <v>211</v>
      </c>
      <c r="E29">
        <v>217</v>
      </c>
      <c r="H29">
        <v>42</v>
      </c>
      <c r="I29">
        <v>130</v>
      </c>
      <c r="J29">
        <v>5</v>
      </c>
      <c r="M29">
        <v>216</v>
      </c>
      <c r="N29">
        <v>128</v>
      </c>
      <c r="O29">
        <v>50</v>
      </c>
    </row>
    <row r="30" spans="2:15" x14ac:dyDescent="0.3">
      <c r="C30">
        <v>243</v>
      </c>
      <c r="D30">
        <v>212</v>
      </c>
      <c r="E30">
        <v>217</v>
      </c>
      <c r="H30">
        <v>43</v>
      </c>
      <c r="I30">
        <v>133</v>
      </c>
      <c r="J30">
        <v>6</v>
      </c>
      <c r="M30">
        <v>218</v>
      </c>
      <c r="N30">
        <v>135</v>
      </c>
      <c r="O30">
        <v>51</v>
      </c>
    </row>
    <row r="31" spans="2:15" x14ac:dyDescent="0.3">
      <c r="C31">
        <v>244</v>
      </c>
      <c r="D31">
        <v>213</v>
      </c>
      <c r="E31">
        <v>217</v>
      </c>
      <c r="H31">
        <v>45</v>
      </c>
      <c r="I31">
        <v>133</v>
      </c>
      <c r="J31">
        <v>17</v>
      </c>
      <c r="M31">
        <v>220</v>
      </c>
      <c r="N31">
        <v>135</v>
      </c>
      <c r="O31">
        <v>55</v>
      </c>
    </row>
    <row r="32" spans="2:15" x14ac:dyDescent="0.3">
      <c r="C32">
        <v>244</v>
      </c>
      <c r="D32">
        <v>213</v>
      </c>
      <c r="E32">
        <v>219</v>
      </c>
      <c r="H32">
        <v>48</v>
      </c>
      <c r="I32">
        <v>140</v>
      </c>
      <c r="J32">
        <v>17</v>
      </c>
      <c r="M32">
        <v>224</v>
      </c>
      <c r="N32">
        <v>136</v>
      </c>
      <c r="O32">
        <v>57</v>
      </c>
    </row>
    <row r="33" spans="3:15" x14ac:dyDescent="0.3">
      <c r="C33">
        <v>245</v>
      </c>
      <c r="D33">
        <v>213</v>
      </c>
      <c r="E33">
        <v>220</v>
      </c>
      <c r="H33">
        <v>49</v>
      </c>
      <c r="I33">
        <v>142</v>
      </c>
      <c r="J33">
        <v>21</v>
      </c>
      <c r="M33">
        <v>224</v>
      </c>
      <c r="N33">
        <v>138</v>
      </c>
      <c r="O33">
        <v>58</v>
      </c>
    </row>
    <row r="34" spans="3:15" x14ac:dyDescent="0.3">
      <c r="C34">
        <v>245</v>
      </c>
      <c r="D34">
        <v>214</v>
      </c>
      <c r="E34">
        <v>221</v>
      </c>
      <c r="H34">
        <v>51</v>
      </c>
      <c r="I34">
        <v>144</v>
      </c>
      <c r="J34">
        <v>23</v>
      </c>
      <c r="M34">
        <v>225</v>
      </c>
      <c r="N34">
        <v>138</v>
      </c>
      <c r="O34">
        <v>60</v>
      </c>
    </row>
  </sheetData>
  <sortState ref="O25:O34">
    <sortCondition ref="O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Blue</vt:lpstr>
      <vt:lpstr>Red</vt:lpstr>
      <vt:lpstr>Yellow</vt:lpstr>
      <vt:lpstr>Green</vt:lpstr>
      <vt:lpstr>Orange</vt:lpstr>
      <vt:lpstr>White</vt:lpstr>
      <vt:lpstr>LGreen</vt:lpstr>
      <vt:lpstr>LBlue</vt:lpstr>
      <vt:lpstr>Blue_IB</vt:lpstr>
      <vt:lpstr>Red_IB</vt:lpstr>
      <vt:lpstr>Yellow_IB</vt:lpstr>
      <vt:lpstr>Green_IB</vt:lpstr>
      <vt:lpstr>Orange_IB</vt:lpstr>
      <vt:lpstr>White_IB</vt:lpstr>
      <vt:lpstr>LGreen_IB</vt:lpstr>
      <vt:lpstr>LBlue_IB</vt:lpstr>
      <vt:lpstr>BlueTest</vt:lpstr>
      <vt:lpstr>Measurements</vt:lpstr>
      <vt:lpstr>BGR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Sheaib</dc:creator>
  <cp:lastModifiedBy>Hussein Sheaib</cp:lastModifiedBy>
  <dcterms:created xsi:type="dcterms:W3CDTF">2021-04-12T13:47:11Z</dcterms:created>
  <dcterms:modified xsi:type="dcterms:W3CDTF">2021-05-12T15:41:25Z</dcterms:modified>
</cp:coreProperties>
</file>